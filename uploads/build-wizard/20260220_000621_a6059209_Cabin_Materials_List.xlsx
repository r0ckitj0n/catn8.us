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272021" sheetId="1" r:id="rId4"/>
    <sheet state="visible" name="Shutters" sheetId="2" r:id="rId5"/>
    <sheet state="visible" name="Home Designer Suite" sheetId="3" r:id="rId6"/>
  </sheets>
  <definedNames/>
  <calcPr/>
</workbook>
</file>

<file path=xl/sharedStrings.xml><?xml version="1.0" encoding="utf-8"?>
<sst xmlns="http://schemas.openxmlformats.org/spreadsheetml/2006/main" count="596" uniqueCount="404">
  <si>
    <t>Item</t>
  </si>
  <si>
    <t>Item Description</t>
  </si>
  <si>
    <t>Dimensions</t>
  </si>
  <si>
    <t>Sq Ft Per</t>
  </si>
  <si>
    <t>Qty</t>
  </si>
  <si>
    <t>Sq ft Covered</t>
  </si>
  <si>
    <t>Sq ft Needed</t>
  </si>
  <si>
    <t>Sq ft Need +10%</t>
  </si>
  <si>
    <t>Price</t>
  </si>
  <si>
    <t>TOTAL</t>
  </si>
  <si>
    <t>Notes</t>
  </si>
  <si>
    <t>Siding &amp; Roof</t>
  </si>
  <si>
    <t>Wall Insulation Sheathing</t>
  </si>
  <si>
    <t>Foam Board Insulation Sheathing</t>
  </si>
  <si>
    <t>1.5" 4' × 8'</t>
  </si>
  <si>
    <t>Wall Sheathing</t>
  </si>
  <si>
    <t>23/32" Sheathing, 4' × 8'</t>
  </si>
  <si>
    <t>23/32" 4' × 8'</t>
  </si>
  <si>
    <t>Gable Sheathing</t>
  </si>
  <si>
    <t>Roof Sheathing</t>
  </si>
  <si>
    <t>Roof Sheathing - Synthetic Felt</t>
  </si>
  <si>
    <t>Roof Underlayment</t>
  </si>
  <si>
    <t>Moisture Guard - Sticky</t>
  </si>
  <si>
    <t>5' x 200'</t>
  </si>
  <si>
    <t>Wall Underlayment</t>
  </si>
  <si>
    <t>House Wrap</t>
  </si>
  <si>
    <t>Siding</t>
  </si>
  <si>
    <t>Fiber Cement</t>
  </si>
  <si>
    <t>5/16" 12" x 144"</t>
  </si>
  <si>
    <t>Windows</t>
  </si>
  <si>
    <t>Window - Double Hung</t>
  </si>
  <si>
    <t>Vinyl window with 2 panes &amp; argon</t>
  </si>
  <si>
    <t>36" x 72" (3-0,6-0)</t>
  </si>
  <si>
    <t>36" x 54" (3-0,4-6)</t>
  </si>
  <si>
    <t>Window - Fixed</t>
  </si>
  <si>
    <t>Vinyl window with 2 panes &amp; argon, tempered</t>
  </si>
  <si>
    <t>Walls</t>
  </si>
  <si>
    <t>1" 7.25" x 144"</t>
  </si>
  <si>
    <t>Shiplap</t>
  </si>
  <si>
    <t>0.66" x 5.25" x 144"</t>
  </si>
  <si>
    <t>Sheetrock</t>
  </si>
  <si>
    <t>1/2" 4' x 8'</t>
  </si>
  <si>
    <t>Doors</t>
  </si>
  <si>
    <t>Exterior door</t>
  </si>
  <si>
    <t>Front Door - Decorative</t>
  </si>
  <si>
    <t>36" x 80"</t>
  </si>
  <si>
    <t>Rear Door - Plain</t>
  </si>
  <si>
    <t>Interior door</t>
  </si>
  <si>
    <t>Bathroom Door - Insulated?</t>
  </si>
  <si>
    <t>Accessories</t>
  </si>
  <si>
    <t>Flashing Tape</t>
  </si>
  <si>
    <t>Use on joints where sheathing meets (600' needed)</t>
  </si>
  <si>
    <t>3.75" x 100'</t>
  </si>
  <si>
    <t>Stretch Tape</t>
  </si>
  <si>
    <t>Stretch Tape - use around doors and windows (50' needed)</t>
  </si>
  <si>
    <t>6" x 20'</t>
  </si>
  <si>
    <t>Screws</t>
  </si>
  <si>
    <t>TOTAL:</t>
  </si>
  <si>
    <t>Window Size (Inches)</t>
  </si>
  <si>
    <t>Width (Feet)</t>
  </si>
  <si>
    <t>Height (Feet)</t>
  </si>
  <si>
    <t>QTY</t>
  </si>
  <si>
    <t>TOTAL Height</t>
  </si>
  <si>
    <t>8" Needed</t>
  </si>
  <si>
    <t>6" Needed</t>
  </si>
  <si>
    <t>4" Needed</t>
  </si>
  <si>
    <t>36" x 72"</t>
  </si>
  <si>
    <t>36" x 54"</t>
  </si>
  <si>
    <t>Shopping List</t>
  </si>
  <si>
    <t>Each shutter has a 6",8",6" board with 4" border</t>
  </si>
  <si>
    <t>Size</t>
  </si>
  <si>
    <t>8 Shutters 54" tall, 4 shutters 72" tall</t>
  </si>
  <si>
    <t>1x8x12</t>
  </si>
  <si>
    <t>1x6x12</t>
  </si>
  <si>
    <t>1x4x12</t>
  </si>
  <si>
    <t>1x8x10</t>
  </si>
  <si>
    <t>1x6x10</t>
  </si>
  <si>
    <t>1x4x10</t>
  </si>
  <si>
    <t>ID</t>
  </si>
  <si>
    <t>Floor</t>
  </si>
  <si>
    <t>Description</t>
  </si>
  <si>
    <t>Count</t>
  </si>
  <si>
    <t>Extra</t>
  </si>
  <si>
    <t>Total Cost</t>
  </si>
  <si>
    <t>Comment</t>
  </si>
  <si>
    <t>Label</t>
  </si>
  <si>
    <t>General</t>
  </si>
  <si>
    <t>GN1</t>
  </si>
  <si>
    <t>thermal envelope - ceiling area</t>
  </si>
  <si>
    <t>sq ft</t>
  </si>
  <si>
    <t>GN2</t>
  </si>
  <si>
    <t>thermal envelope - floor area</t>
  </si>
  <si>
    <t>GN3</t>
  </si>
  <si>
    <t>thermal envelope - wall area - South</t>
  </si>
  <si>
    <t>GN4</t>
  </si>
  <si>
    <t>thermal envelope - window area - South</t>
  </si>
  <si>
    <t>GN5</t>
  </si>
  <si>
    <t>thermal envelope - wall area - North</t>
  </si>
  <si>
    <t>GN6</t>
  </si>
  <si>
    <t>thermal envelope - window area - North</t>
  </si>
  <si>
    <t>GN7</t>
  </si>
  <si>
    <t>thermal envelope - wall area - East</t>
  </si>
  <si>
    <t>GN8</t>
  </si>
  <si>
    <t>thermal envelope - door area - East</t>
  </si>
  <si>
    <t>GN9</t>
  </si>
  <si>
    <t>120 high Wall</t>
  </si>
  <si>
    <t>Siding-5_10</t>
  </si>
  <si>
    <t>ft</t>
  </si>
  <si>
    <t>GN10</t>
  </si>
  <si>
    <t>Interior-3_2</t>
  </si>
  <si>
    <t>GN11</t>
  </si>
  <si>
    <t>Interior-5_2</t>
  </si>
  <si>
    <t>GN12</t>
  </si>
  <si>
    <t>1 1/8 high Wall</t>
  </si>
  <si>
    <t>Siding-6</t>
  </si>
  <si>
    <t>GN13</t>
  </si>
  <si>
    <t>81 3/4 high Wall</t>
  </si>
  <si>
    <t>GN14</t>
  </si>
  <si>
    <t>81 5/8 high Wall</t>
  </si>
  <si>
    <t>Subtotal:</t>
  </si>
  <si>
    <t>Subfloor</t>
  </si>
  <si>
    <t>SF1</t>
  </si>
  <si>
    <t>48"x96"x3/4"</t>
  </si>
  <si>
    <t>OSB-Hrz</t>
  </si>
  <si>
    <t>Framing</t>
  </si>
  <si>
    <t>F1</t>
  </si>
  <si>
    <t>2" x 6"</t>
  </si>
  <si>
    <t>fir plate</t>
  </si>
  <si>
    <t>F2</t>
  </si>
  <si>
    <t>fir stud</t>
  </si>
  <si>
    <t>F3</t>
  </si>
  <si>
    <t>ceiling joists - lumber</t>
  </si>
  <si>
    <t>F4</t>
  </si>
  <si>
    <t>header - lumber</t>
  </si>
  <si>
    <t>F5</t>
  </si>
  <si>
    <t>2" x 4 1/2"</t>
  </si>
  <si>
    <t>F6</t>
  </si>
  <si>
    <t>F7</t>
  </si>
  <si>
    <t>2" x 4 1/16"</t>
  </si>
  <si>
    <t>F8</t>
  </si>
  <si>
    <t>F9</t>
  </si>
  <si>
    <t>F10</t>
  </si>
  <si>
    <t>F11</t>
  </si>
  <si>
    <t>2" x 3"</t>
  </si>
  <si>
    <t>F12</t>
  </si>
  <si>
    <t>F13</t>
  </si>
  <si>
    <t>1 1/8" x 5 1/2"</t>
  </si>
  <si>
    <t>ceiling joists - lvl</t>
  </si>
  <si>
    <t>S1</t>
  </si>
  <si>
    <t>10.75" wide</t>
  </si>
  <si>
    <t>Lap Siding</t>
  </si>
  <si>
    <t>S2</t>
  </si>
  <si>
    <t>Housewrap</t>
  </si>
  <si>
    <t>S3</t>
  </si>
  <si>
    <t>48"x96"x7/16"</t>
  </si>
  <si>
    <t>S4</t>
  </si>
  <si>
    <t>4" wide</t>
  </si>
  <si>
    <t>S</t>
  </si>
  <si>
    <t>Lap Siding (Attic wall; Attic)</t>
  </si>
  <si>
    <t>S5</t>
  </si>
  <si>
    <t>S6</t>
  </si>
  <si>
    <t>Exterior Trim</t>
  </si>
  <si>
    <t>EX1</t>
  </si>
  <si>
    <t>1x4</t>
  </si>
  <si>
    <t>window apron - color - brite</t>
  </si>
  <si>
    <t>EX2</t>
  </si>
  <si>
    <t>1x2</t>
  </si>
  <si>
    <t>exterior sill - color - brite</t>
  </si>
  <si>
    <t>EX3</t>
  </si>
  <si>
    <t>ext. window casing - color - brite</t>
  </si>
  <si>
    <t>EX4</t>
  </si>
  <si>
    <t>1x6-36"</t>
  </si>
  <si>
    <t>door threshold</t>
  </si>
  <si>
    <t>EX5</t>
  </si>
  <si>
    <t>ext. door casing - color - brite</t>
  </si>
  <si>
    <t>EX6</t>
  </si>
  <si>
    <t>5x1</t>
  </si>
  <si>
    <t>ext. door jamb - color - brite</t>
  </si>
  <si>
    <t>Roofing</t>
  </si>
  <si>
    <t>R1</t>
  </si>
  <si>
    <t>gutter: Default Gutter</t>
  </si>
  <si>
    <t>R2</t>
  </si>
  <si>
    <t>ridge cap: Default Ridge Cap</t>
  </si>
  <si>
    <t>R3</t>
  </si>
  <si>
    <t>8"x8"x1/8"</t>
  </si>
  <si>
    <t>Solar Panel</t>
  </si>
  <si>
    <t>R4</t>
  </si>
  <si>
    <t>48"x96"x1/2"</t>
  </si>
  <si>
    <t>R5</t>
  </si>
  <si>
    <t>3/8" thick</t>
  </si>
  <si>
    <t>soffit - color - bone</t>
  </si>
  <si>
    <t>R6</t>
  </si>
  <si>
    <t>1x8"</t>
  </si>
  <si>
    <t>gable fascia</t>
  </si>
  <si>
    <t>R7</t>
  </si>
  <si>
    <t>eave fascia</t>
  </si>
  <si>
    <t>R8</t>
  </si>
  <si>
    <t>2" x 12"</t>
  </si>
  <si>
    <t>ridge board - lumber</t>
  </si>
  <si>
    <t>R9</t>
  </si>
  <si>
    <t>2" x 10"</t>
  </si>
  <si>
    <t>rafters - lumber</t>
  </si>
  <si>
    <t>R10</t>
  </si>
  <si>
    <t>R11</t>
  </si>
  <si>
    <t>2" x 4"</t>
  </si>
  <si>
    <t>Insulation</t>
  </si>
  <si>
    <t>IN1</t>
  </si>
  <si>
    <t>4x16x93" batts</t>
  </si>
  <si>
    <t>wall insulation</t>
  </si>
  <si>
    <t>IN2</t>
  </si>
  <si>
    <t>12x16x48" batts</t>
  </si>
  <si>
    <t>ceiling insulation</t>
  </si>
  <si>
    <t>IN3</t>
  </si>
  <si>
    <t>floor insulation</t>
  </si>
  <si>
    <t>Flooring</t>
  </si>
  <si>
    <t>FL1</t>
  </si>
  <si>
    <t>3/4" thick</t>
  </si>
  <si>
    <t>Hickory - Weathered</t>
  </si>
  <si>
    <t>FL2</t>
  </si>
  <si>
    <t>1/8" thick</t>
  </si>
  <si>
    <t>Foam Underlayment</t>
  </si>
  <si>
    <t>FL3</t>
  </si>
  <si>
    <t>12"x12"x3/4"</t>
  </si>
  <si>
    <t>Glazed Black Mosaic Tile</t>
  </si>
  <si>
    <t>Wall Board</t>
  </si>
  <si>
    <t>WB1</t>
  </si>
  <si>
    <t>Drywall</t>
  </si>
  <si>
    <t>WB2</t>
  </si>
  <si>
    <t>48"x96"x5/8"</t>
  </si>
  <si>
    <t>WB3</t>
  </si>
  <si>
    <t>5" wide</t>
  </si>
  <si>
    <t>Planks(taupe) Decking</t>
  </si>
  <si>
    <t>WB4</t>
  </si>
  <si>
    <t>Color - Bone</t>
  </si>
  <si>
    <t>WB5</t>
  </si>
  <si>
    <t>W1</t>
  </si>
  <si>
    <t>36x54</t>
  </si>
  <si>
    <t>Double Hung</t>
  </si>
  <si>
    <t>36" wide 54" tall 52" off ground</t>
  </si>
  <si>
    <t>W2</t>
  </si>
  <si>
    <t>36x74</t>
  </si>
  <si>
    <t>36" wide 72" tall 30" off ground</t>
  </si>
  <si>
    <t>W3</t>
  </si>
  <si>
    <t>36x72</t>
  </si>
  <si>
    <t>D1</t>
  </si>
  <si>
    <t>35 15/16"x80"x1 3/4"</t>
  </si>
  <si>
    <t>Hinged-Door P04</t>
  </si>
  <si>
    <t>36" wide 80" tall</t>
  </si>
  <si>
    <t>D2</t>
  </si>
  <si>
    <t>handle: Lever</t>
  </si>
  <si>
    <t>D3</t>
  </si>
  <si>
    <t>handle: Lever (ext.)</t>
  </si>
  <si>
    <t>D4</t>
  </si>
  <si>
    <t>hinge: Standard</t>
  </si>
  <si>
    <t>D5</t>
  </si>
  <si>
    <t>36"x81"x1 3/8"</t>
  </si>
  <si>
    <t>Barn-Door P04</t>
  </si>
  <si>
    <t>34" wide 80" tall</t>
  </si>
  <si>
    <t>D6</t>
  </si>
  <si>
    <t>sliding track: Standard</t>
  </si>
  <si>
    <t>D7</t>
  </si>
  <si>
    <t>sliding hanger: Standard</t>
  </si>
  <si>
    <t>D8</t>
  </si>
  <si>
    <t>ext. Hinged-Door E21</t>
  </si>
  <si>
    <t>D9</t>
  </si>
  <si>
    <t>handle: Knob</t>
  </si>
  <si>
    <t>Cabinets</t>
  </si>
  <si>
    <t>C1</t>
  </si>
  <si>
    <t>48 7/8x42x36"</t>
  </si>
  <si>
    <t>corner base cabinet</t>
  </si>
  <si>
    <t>LCB4942R</t>
  </si>
  <si>
    <t>C1.1</t>
  </si>
  <si>
    <t>material - Color - Snow White</t>
  </si>
  <si>
    <t>C1.2</t>
  </si>
  <si>
    <t>16 1/8x21 3/8"</t>
  </si>
  <si>
    <t>door - Framed (RP-1-1)</t>
  </si>
  <si>
    <t>C1.3</t>
  </si>
  <si>
    <t>16 1/8x5 7/8"</t>
  </si>
  <si>
    <t>drawer - Beaded</t>
  </si>
  <si>
    <t>C1.4</t>
  </si>
  <si>
    <t>23x21 3/8"</t>
  </si>
  <si>
    <t>C1.5</t>
  </si>
  <si>
    <t>23x5 7/8"</t>
  </si>
  <si>
    <t>C1.6</t>
  </si>
  <si>
    <t>hinge</t>
  </si>
  <si>
    <t>C1.7</t>
  </si>
  <si>
    <t>1"</t>
  </si>
  <si>
    <t>knob</t>
  </si>
  <si>
    <t>C1.8</t>
  </si>
  <si>
    <t>drawer glide</t>
  </si>
  <si>
    <t>C2</t>
  </si>
  <si>
    <t>countertop - black-granite</t>
  </si>
  <si>
    <t>C3</t>
  </si>
  <si>
    <t>countertop front cap</t>
  </si>
  <si>
    <t>C4</t>
  </si>
  <si>
    <t>backsplash</t>
  </si>
  <si>
    <t>C5</t>
  </si>
  <si>
    <t>36x24x36"</t>
  </si>
  <si>
    <t>base cabinet</t>
  </si>
  <si>
    <t>SB36</t>
  </si>
  <si>
    <t>C5.1</t>
  </si>
  <si>
    <t>C5.2</t>
  </si>
  <si>
    <t>16 15/16x21 3/8"</t>
  </si>
  <si>
    <t>C5.3</t>
  </si>
  <si>
    <t>33 7/8x5 7/8"</t>
  </si>
  <si>
    <t>C5.4</t>
  </si>
  <si>
    <t>C5.5</t>
  </si>
  <si>
    <t>C6</t>
  </si>
  <si>
    <t>35 5/16x33 15/16x120"</t>
  </si>
  <si>
    <t>utility cabinet</t>
  </si>
  <si>
    <t>U3534120</t>
  </si>
  <si>
    <t>C6.1</t>
  </si>
  <si>
    <t>C6.2</t>
  </si>
  <si>
    <t>16 1/2x74"</t>
  </si>
  <si>
    <t>door - RP-2-REC</t>
  </si>
  <si>
    <t>C6.3</t>
  </si>
  <si>
    <t>16 1/2x39 1/4"</t>
  </si>
  <si>
    <t>C6.4</t>
  </si>
  <si>
    <t>hidden hinge</t>
  </si>
  <si>
    <t>C7</t>
  </si>
  <si>
    <t>1/2x120"</t>
  </si>
  <si>
    <t>Filler</t>
  </si>
  <si>
    <t>C8</t>
  </si>
  <si>
    <t>13x12x36"</t>
  </si>
  <si>
    <t>wall cabinet</t>
  </si>
  <si>
    <t>W1336R</t>
  </si>
  <si>
    <t>C8.1</t>
  </si>
  <si>
    <t>C8.2</t>
  </si>
  <si>
    <t>10 7/8x30 5/8"</t>
  </si>
  <si>
    <t>C8.3</t>
  </si>
  <si>
    <t>C8.4</t>
  </si>
  <si>
    <t>C9</t>
  </si>
  <si>
    <t>2 1/2x36"</t>
  </si>
  <si>
    <t>C10</t>
  </si>
  <si>
    <t>24x24x36"</t>
  </si>
  <si>
    <t>corner wall cabinet</t>
  </si>
  <si>
    <t>DCW2436R</t>
  </si>
  <si>
    <t>C10.1</t>
  </si>
  <si>
    <t>C10.2</t>
  </si>
  <si>
    <t>14 7/8x30 5/8"</t>
  </si>
  <si>
    <t>C10.3</t>
  </si>
  <si>
    <t>C10.4</t>
  </si>
  <si>
    <t>Interior Trim</t>
  </si>
  <si>
    <t>T1</t>
  </si>
  <si>
    <t>1x3</t>
  </si>
  <si>
    <t>window apron - color - bone</t>
  </si>
  <si>
    <t>T2</t>
  </si>
  <si>
    <t>sill - color - bone</t>
  </si>
  <si>
    <t>T3</t>
  </si>
  <si>
    <t>interior casing - color - bone</t>
  </si>
  <si>
    <t>T4</t>
  </si>
  <si>
    <t>interior jamb - color - bone</t>
  </si>
  <si>
    <t>T5</t>
  </si>
  <si>
    <t>4x1</t>
  </si>
  <si>
    <t>T6</t>
  </si>
  <si>
    <t>cabinet molding: CA-72</t>
  </si>
  <si>
    <t>T7</t>
  </si>
  <si>
    <t>base molding: Default Base Molding</t>
  </si>
  <si>
    <t>Fixtures</t>
  </si>
  <si>
    <t>FX1</t>
  </si>
  <si>
    <t>30 11/16W19 1/2D</t>
  </si>
  <si>
    <t>Double Undermount Sink Narrow</t>
  </si>
  <si>
    <t>FX2</t>
  </si>
  <si>
    <t>27 1/2W22 1/2D</t>
  </si>
  <si>
    <t>Oval Console</t>
  </si>
  <si>
    <t>FX3</t>
  </si>
  <si>
    <t>30W36D</t>
  </si>
  <si>
    <t>ADA Toilet</t>
  </si>
  <si>
    <t>FX4</t>
  </si>
  <si>
    <t>4 1/2W4 1/2D</t>
  </si>
  <si>
    <t>K-9132  Shower Drain</t>
  </si>
  <si>
    <t>K-9132</t>
  </si>
  <si>
    <t>Appliance</t>
  </si>
  <si>
    <t>A1</t>
  </si>
  <si>
    <t>24W23 3/4D</t>
  </si>
  <si>
    <t>Dishwasher (basic)</t>
  </si>
  <si>
    <t>A2</t>
  </si>
  <si>
    <t>26 7/8W28 7/8D</t>
  </si>
  <si>
    <t>Washer (front loading)</t>
  </si>
  <si>
    <t>A3</t>
  </si>
  <si>
    <t>Dryer (glass door)</t>
  </si>
  <si>
    <t>A4</t>
  </si>
  <si>
    <t>36W32D</t>
  </si>
  <si>
    <t>Side-by-Side (ice maker) Refrigerator</t>
  </si>
  <si>
    <t>R36"</t>
  </si>
  <si>
    <t>A5</t>
  </si>
  <si>
    <t>30W19 3/16D</t>
  </si>
  <si>
    <t>Over the Range Microwave</t>
  </si>
  <si>
    <t>A6</t>
  </si>
  <si>
    <t>30W29D</t>
  </si>
  <si>
    <t>Electric Range</t>
  </si>
  <si>
    <t>Decks-Walks</t>
  </si>
  <si>
    <t>DW1</t>
  </si>
  <si>
    <t>3 1/2" square</t>
  </si>
  <si>
    <t>support post</t>
  </si>
  <si>
    <t>DW2</t>
  </si>
  <si>
    <t>half support post</t>
  </si>
  <si>
    <t>DW3</t>
  </si>
  <si>
    <t>4x8 in</t>
  </si>
  <si>
    <t>beam over rail</t>
  </si>
  <si>
    <t>DW4</t>
  </si>
  <si>
    <t>3 1/2" diam.</t>
  </si>
  <si>
    <t>pillar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</si>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</sst>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>
      <b/>
      <sz val="18.0"/>
      <color theme="1"/>
      <name val="Arial"/>
    </font>
    <font/>
    <font>
      <sz val="12.0"/>
      <color theme="1"/>
      <name val="Arial"/>
    </font>
    <font>
      <sz val="12.0"/>
      <color rgb="FF333333"/>
      <name val="Arial"/>
    </font>
    <font>
      <sz val="12.0"/>
      <color rgb="FF000000"/>
      <name val="Arial"/>
    </font>
    <font>
      <sz val="12.0"/>
      <color rgb="FF373232"/>
      <name val="Arial"/>
    </font>
    <font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64.0"/>
      <color theme="1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readingOrder="0" shrinkToFit="0" wrapText="1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9" numFmtId="0" xfId="0" applyAlignment="1" applyFont="1">
      <alignment readingOrder="0"/>
    </xf>
    <xf borderId="3" fillId="0" fontId="4" numFmtId="0" xfId="0" applyAlignment="1" applyBorder="1" applyFont="1">
      <alignment horizontal="right" readingOrder="0"/>
    </xf>
    <xf borderId="3" fillId="0" fontId="3" numFmtId="0" xfId="0" applyBorder="1" applyFont="1"/>
    <xf borderId="3" fillId="0" fontId="4" numFmtId="164" xfId="0" applyBorder="1" applyFont="1" applyNumberFormat="1"/>
    <xf borderId="3" fillId="0" fontId="4" numFmtId="0" xfId="0" applyBorder="1" applyFont="1"/>
    <xf borderId="0" fillId="0" fontId="10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3" numFmtId="0" xfId="0" applyBorder="1" applyFont="1"/>
    <xf borderId="3" fillId="0" fontId="11" numFmtId="0" xfId="0" applyAlignment="1" applyBorder="1" applyFont="1">
      <alignment horizontal="left" readingOrder="0"/>
    </xf>
    <xf borderId="5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left" readingOrder="0"/>
    </xf>
    <xf borderId="7" fillId="0" fontId="9" numFmtId="164" xfId="0" applyAlignment="1" applyBorder="1" applyFont="1" applyNumberFormat="1">
      <alignment horizontal="center" readingOrder="0"/>
    </xf>
    <xf borderId="0" fillId="0" fontId="12" numFmtId="164" xfId="0" applyAlignment="1" applyFont="1" applyNumberFormat="1">
      <alignment horizontal="center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9" numFmtId="0" xfId="0" applyFont="1"/>
    <xf borderId="0" fillId="0" fontId="9" numFmtId="164" xfId="0" applyAlignment="1" applyFont="1" applyNumberFormat="1">
      <alignment readingOrder="0"/>
    </xf>
    <xf borderId="3" fillId="0" fontId="10" numFmtId="0" xfId="0" applyBorder="1" applyFont="1"/>
    <xf borderId="3" fillId="0" fontId="10" numFmtId="0" xfId="0" applyAlignment="1" applyBorder="1" applyFont="1">
      <alignment readingOrder="0"/>
    </xf>
    <xf borderId="3" fillId="0" fontId="10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57.88"/>
    <col customWidth="1" min="3" max="3" width="19.5"/>
    <col customWidth="1" min="4" max="4" width="14.5"/>
    <col customWidth="1" min="5" max="5" width="4.75"/>
    <col customWidth="1" min="6" max="8" width="11.38"/>
    <col customWidth="1" min="11" max="11" width="4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1" t="s">
        <v>10</v>
      </c>
    </row>
    <row r="2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s">
        <v>12</v>
      </c>
      <c r="B3" s="8" t="s">
        <v>13</v>
      </c>
      <c r="C3" s="9" t="s">
        <v>14</v>
      </c>
      <c r="D3" s="10">
        <v>32.0</v>
      </c>
      <c r="E3" s="10">
        <v>39.0</v>
      </c>
      <c r="F3" s="10">
        <f t="shared" ref="F3:F10" si="1">D3*E3</f>
        <v>1248</v>
      </c>
      <c r="G3" s="10">
        <v>1128.0</v>
      </c>
      <c r="H3" s="11">
        <f t="shared" ref="H3:H10" si="2">G3*0.1+G3</f>
        <v>1240.8</v>
      </c>
      <c r="I3" s="12">
        <v>40.0</v>
      </c>
      <c r="J3" s="13">
        <f t="shared" ref="J3:J10" si="3">E3*I3</f>
        <v>1560</v>
      </c>
      <c r="K3" s="14"/>
    </row>
    <row r="4">
      <c r="A4" s="15" t="s">
        <v>15</v>
      </c>
      <c r="B4" s="16" t="s">
        <v>16</v>
      </c>
      <c r="C4" s="17" t="s">
        <v>17</v>
      </c>
      <c r="D4" s="18">
        <v>32.0</v>
      </c>
      <c r="E4" s="19">
        <v>33.0</v>
      </c>
      <c r="F4" s="18">
        <f t="shared" si="1"/>
        <v>1056</v>
      </c>
      <c r="G4" s="19">
        <v>960.0</v>
      </c>
      <c r="H4" s="20">
        <f t="shared" si="2"/>
        <v>1056</v>
      </c>
      <c r="I4" s="21">
        <v>50.0</v>
      </c>
      <c r="J4" s="22">
        <f t="shared" si="3"/>
        <v>1650</v>
      </c>
      <c r="K4" s="23"/>
    </row>
    <row r="5">
      <c r="A5" s="7" t="s">
        <v>18</v>
      </c>
      <c r="B5" s="16" t="s">
        <v>16</v>
      </c>
      <c r="C5" s="17" t="s">
        <v>17</v>
      </c>
      <c r="D5" s="18">
        <v>32.0</v>
      </c>
      <c r="E5" s="19">
        <v>6.0</v>
      </c>
      <c r="F5" s="18">
        <f t="shared" si="1"/>
        <v>192</v>
      </c>
      <c r="G5" s="19">
        <v>168.0</v>
      </c>
      <c r="H5" s="20">
        <f t="shared" si="2"/>
        <v>184.8</v>
      </c>
      <c r="I5" s="21">
        <v>50.0</v>
      </c>
      <c r="J5" s="22">
        <f t="shared" si="3"/>
        <v>300</v>
      </c>
      <c r="K5" s="14"/>
    </row>
    <row r="6">
      <c r="A6" s="7" t="s">
        <v>19</v>
      </c>
      <c r="B6" s="16" t="s">
        <v>16</v>
      </c>
      <c r="C6" s="17" t="s">
        <v>17</v>
      </c>
      <c r="D6" s="18">
        <v>32.0</v>
      </c>
      <c r="E6" s="19">
        <v>32.0</v>
      </c>
      <c r="F6" s="18">
        <f t="shared" si="1"/>
        <v>1024</v>
      </c>
      <c r="G6" s="19">
        <v>896.0</v>
      </c>
      <c r="H6" s="20">
        <f t="shared" si="2"/>
        <v>985.6</v>
      </c>
      <c r="I6" s="21">
        <v>50.0</v>
      </c>
      <c r="J6" s="22">
        <f t="shared" si="3"/>
        <v>1600</v>
      </c>
      <c r="K6" s="14"/>
    </row>
    <row r="7">
      <c r="A7" s="7" t="s">
        <v>20</v>
      </c>
      <c r="B7" s="24"/>
      <c r="C7" s="9" t="s">
        <v>17</v>
      </c>
      <c r="D7" s="10">
        <v>1000.0</v>
      </c>
      <c r="E7" s="10">
        <v>1.0</v>
      </c>
      <c r="F7" s="10">
        <f t="shared" si="1"/>
        <v>1000</v>
      </c>
      <c r="G7" s="10">
        <v>896.0</v>
      </c>
      <c r="H7" s="11">
        <f t="shared" si="2"/>
        <v>985.6</v>
      </c>
      <c r="I7" s="12">
        <v>65.0</v>
      </c>
      <c r="J7" s="13">
        <f t="shared" si="3"/>
        <v>65</v>
      </c>
      <c r="K7" s="14"/>
    </row>
    <row r="8">
      <c r="A8" s="7" t="s">
        <v>21</v>
      </c>
      <c r="B8" s="7" t="s">
        <v>22</v>
      </c>
      <c r="C8" s="7" t="s">
        <v>23</v>
      </c>
      <c r="D8" s="10">
        <v>1000.0</v>
      </c>
      <c r="E8" s="10">
        <v>1.0</v>
      </c>
      <c r="F8" s="10">
        <f t="shared" si="1"/>
        <v>1000</v>
      </c>
      <c r="G8" s="10">
        <v>896.0</v>
      </c>
      <c r="H8" s="11">
        <f t="shared" si="2"/>
        <v>985.6</v>
      </c>
      <c r="I8" s="12">
        <v>180.0</v>
      </c>
      <c r="J8" s="13">
        <f t="shared" si="3"/>
        <v>180</v>
      </c>
      <c r="K8" s="14"/>
    </row>
    <row r="9">
      <c r="A9" s="7" t="s">
        <v>24</v>
      </c>
      <c r="B9" s="7" t="s">
        <v>25</v>
      </c>
      <c r="C9" s="7" t="s">
        <v>23</v>
      </c>
      <c r="D9" s="10">
        <v>1000.0</v>
      </c>
      <c r="E9" s="10">
        <v>2.0</v>
      </c>
      <c r="F9" s="10">
        <f t="shared" si="1"/>
        <v>2000</v>
      </c>
      <c r="G9" s="10">
        <v>1128.0</v>
      </c>
      <c r="H9" s="11">
        <f t="shared" si="2"/>
        <v>1240.8</v>
      </c>
      <c r="I9" s="12">
        <v>300.0</v>
      </c>
      <c r="J9" s="13">
        <f t="shared" si="3"/>
        <v>600</v>
      </c>
      <c r="K9" s="14"/>
    </row>
    <row r="10">
      <c r="A10" s="7" t="s">
        <v>26</v>
      </c>
      <c r="B10" s="7" t="s">
        <v>27</v>
      </c>
      <c r="C10" s="7" t="s">
        <v>28</v>
      </c>
      <c r="D10" s="10">
        <v>10.5</v>
      </c>
      <c r="E10" s="10">
        <v>144.0</v>
      </c>
      <c r="F10" s="10">
        <f t="shared" si="1"/>
        <v>1512</v>
      </c>
      <c r="G10" s="10">
        <v>1128.0</v>
      </c>
      <c r="H10" s="11">
        <f t="shared" si="2"/>
        <v>1240.8</v>
      </c>
      <c r="I10" s="12">
        <v>21.0</v>
      </c>
      <c r="J10" s="13">
        <f t="shared" si="3"/>
        <v>3024</v>
      </c>
      <c r="K10" s="14"/>
    </row>
    <row r="11">
      <c r="A11" s="4" t="s">
        <v>29</v>
      </c>
      <c r="B11" s="5"/>
      <c r="C11" s="5"/>
      <c r="D11" s="5"/>
      <c r="E11" s="5"/>
      <c r="F11" s="5"/>
      <c r="G11" s="5"/>
      <c r="H11" s="5"/>
      <c r="I11" s="5"/>
      <c r="J11" s="5"/>
      <c r="K11" s="6"/>
    </row>
    <row r="12">
      <c r="A12" s="7" t="s">
        <v>30</v>
      </c>
      <c r="B12" s="7" t="s">
        <v>31</v>
      </c>
      <c r="C12" s="7" t="s">
        <v>32</v>
      </c>
      <c r="D12" s="25"/>
      <c r="E12" s="10">
        <v>2.0</v>
      </c>
      <c r="F12" s="25"/>
      <c r="G12" s="25"/>
      <c r="H12" s="25"/>
      <c r="I12" s="12">
        <v>500.0</v>
      </c>
      <c r="J12" s="13">
        <f t="shared" ref="J12:J14" si="4">E12*I12</f>
        <v>1000</v>
      </c>
      <c r="K12" s="14"/>
    </row>
    <row r="13">
      <c r="A13" s="7" t="s">
        <v>30</v>
      </c>
      <c r="B13" s="7" t="s">
        <v>31</v>
      </c>
      <c r="C13" s="7" t="s">
        <v>33</v>
      </c>
      <c r="D13" s="25"/>
      <c r="E13" s="10">
        <v>3.0</v>
      </c>
      <c r="F13" s="25"/>
      <c r="G13" s="25"/>
      <c r="H13" s="25"/>
      <c r="I13" s="12">
        <v>300.0</v>
      </c>
      <c r="J13" s="13">
        <f t="shared" si="4"/>
        <v>900</v>
      </c>
      <c r="K13" s="14"/>
    </row>
    <row r="14">
      <c r="A14" s="7" t="s">
        <v>34</v>
      </c>
      <c r="B14" s="7" t="s">
        <v>35</v>
      </c>
      <c r="C14" s="7" t="s">
        <v>33</v>
      </c>
      <c r="D14" s="25"/>
      <c r="E14" s="10">
        <v>1.0</v>
      </c>
      <c r="F14" s="25"/>
      <c r="G14" s="25"/>
      <c r="H14" s="25"/>
      <c r="I14" s="12">
        <v>300.0</v>
      </c>
      <c r="J14" s="13">
        <f t="shared" si="4"/>
        <v>300</v>
      </c>
      <c r="K14" s="14"/>
    </row>
    <row r="15">
      <c r="A15" s="4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6"/>
    </row>
    <row r="16">
      <c r="A16" s="7" t="s">
        <v>36</v>
      </c>
      <c r="B16" s="7" t="s">
        <v>27</v>
      </c>
      <c r="C16" s="7" t="s">
        <v>37</v>
      </c>
      <c r="D16" s="10">
        <v>10.5</v>
      </c>
      <c r="E16" s="10">
        <v>152.0</v>
      </c>
      <c r="F16" s="10">
        <f t="shared" ref="F16:F18" si="5">D16*E16</f>
        <v>1596</v>
      </c>
      <c r="G16" s="10">
        <v>1056.0</v>
      </c>
      <c r="H16" s="11">
        <f t="shared" ref="H16:H18" si="6">G16*0.1+G16</f>
        <v>1161.6</v>
      </c>
      <c r="I16" s="12">
        <v>30.04</v>
      </c>
      <c r="J16" s="13">
        <f t="shared" ref="J16:J18" si="7">E16*I16</f>
        <v>4566.08</v>
      </c>
      <c r="K16" s="14"/>
    </row>
    <row r="17">
      <c r="A17" s="7" t="s">
        <v>36</v>
      </c>
      <c r="B17" s="7" t="s">
        <v>38</v>
      </c>
      <c r="C17" s="7" t="s">
        <v>39</v>
      </c>
      <c r="D17" s="10">
        <v>5.25</v>
      </c>
      <c r="E17" s="10">
        <v>350.0</v>
      </c>
      <c r="F17" s="10">
        <f t="shared" si="5"/>
        <v>1837.5</v>
      </c>
      <c r="G17" s="10">
        <v>1680.0</v>
      </c>
      <c r="H17" s="11">
        <f t="shared" si="6"/>
        <v>1848</v>
      </c>
      <c r="I17" s="12">
        <v>17.14</v>
      </c>
      <c r="J17" s="13">
        <f t="shared" si="7"/>
        <v>5999</v>
      </c>
      <c r="K17" s="14"/>
    </row>
    <row r="18">
      <c r="A18" s="7" t="s">
        <v>36</v>
      </c>
      <c r="B18" s="7" t="s">
        <v>40</v>
      </c>
      <c r="C18" s="7" t="s">
        <v>41</v>
      </c>
      <c r="D18" s="10">
        <v>32.0</v>
      </c>
      <c r="E18" s="10">
        <v>58.0</v>
      </c>
      <c r="F18" s="10">
        <f t="shared" si="5"/>
        <v>1856</v>
      </c>
      <c r="G18" s="10">
        <v>1680.0</v>
      </c>
      <c r="H18" s="11">
        <f t="shared" si="6"/>
        <v>1848</v>
      </c>
      <c r="I18" s="12">
        <v>11.52</v>
      </c>
      <c r="J18" s="13">
        <f t="shared" si="7"/>
        <v>668.16</v>
      </c>
      <c r="K18" s="14"/>
    </row>
    <row r="19">
      <c r="A19" s="4" t="s">
        <v>42</v>
      </c>
      <c r="B19" s="5"/>
      <c r="C19" s="5"/>
      <c r="D19" s="5"/>
      <c r="E19" s="5"/>
      <c r="F19" s="5"/>
      <c r="G19" s="5"/>
      <c r="H19" s="5"/>
      <c r="I19" s="5"/>
      <c r="J19" s="5"/>
      <c r="K19" s="6"/>
    </row>
    <row r="20">
      <c r="A20" s="7" t="s">
        <v>43</v>
      </c>
      <c r="B20" s="7" t="s">
        <v>44</v>
      </c>
      <c r="C20" s="7" t="s">
        <v>45</v>
      </c>
      <c r="D20" s="25"/>
      <c r="E20" s="10">
        <v>1.0</v>
      </c>
      <c r="F20" s="25"/>
      <c r="G20" s="25"/>
      <c r="H20" s="25"/>
      <c r="I20" s="12">
        <v>595.0</v>
      </c>
      <c r="J20" s="13">
        <f t="shared" ref="J20:J22" si="8">E20*I20</f>
        <v>595</v>
      </c>
      <c r="K20" s="14"/>
    </row>
    <row r="21">
      <c r="A21" s="7" t="s">
        <v>43</v>
      </c>
      <c r="B21" s="7" t="s">
        <v>46</v>
      </c>
      <c r="C21" s="7" t="s">
        <v>45</v>
      </c>
      <c r="D21" s="25"/>
      <c r="E21" s="10">
        <v>1.0</v>
      </c>
      <c r="F21" s="25"/>
      <c r="G21" s="25"/>
      <c r="H21" s="25"/>
      <c r="I21" s="12">
        <v>595.0</v>
      </c>
      <c r="J21" s="13">
        <f t="shared" si="8"/>
        <v>595</v>
      </c>
      <c r="K21" s="14"/>
    </row>
    <row r="22">
      <c r="A22" s="7" t="s">
        <v>47</v>
      </c>
      <c r="B22" s="7" t="s">
        <v>48</v>
      </c>
      <c r="C22" s="7" t="s">
        <v>45</v>
      </c>
      <c r="D22" s="25"/>
      <c r="E22" s="10">
        <v>1.0</v>
      </c>
      <c r="F22" s="25"/>
      <c r="G22" s="25"/>
      <c r="H22" s="25"/>
      <c r="I22" s="12">
        <v>750.0</v>
      </c>
      <c r="J22" s="13">
        <f t="shared" si="8"/>
        <v>750</v>
      </c>
      <c r="K22" s="14"/>
    </row>
    <row r="23">
      <c r="A23" s="4" t="s">
        <v>49</v>
      </c>
      <c r="B23" s="5"/>
      <c r="C23" s="5"/>
      <c r="D23" s="5"/>
      <c r="E23" s="5"/>
      <c r="F23" s="5"/>
      <c r="G23" s="5"/>
      <c r="H23" s="5"/>
      <c r="I23" s="5"/>
      <c r="J23" s="5"/>
      <c r="K23" s="6"/>
    </row>
    <row r="24">
      <c r="A24" s="7" t="s">
        <v>50</v>
      </c>
      <c r="B24" s="26" t="s">
        <v>51</v>
      </c>
      <c r="C24" s="7" t="s">
        <v>52</v>
      </c>
      <c r="D24" s="25"/>
      <c r="E24" s="10">
        <v>7.0</v>
      </c>
      <c r="F24" s="10"/>
      <c r="G24" s="25"/>
      <c r="H24" s="10"/>
      <c r="I24" s="12">
        <v>90.0</v>
      </c>
      <c r="J24" s="13">
        <f t="shared" ref="J24:J26" si="9">E24*I24</f>
        <v>630</v>
      </c>
      <c r="K24" s="14"/>
    </row>
    <row r="25">
      <c r="A25" s="7" t="s">
        <v>53</v>
      </c>
      <c r="B25" s="7" t="s">
        <v>54</v>
      </c>
      <c r="C25" s="7" t="s">
        <v>55</v>
      </c>
      <c r="D25" s="25"/>
      <c r="E25" s="10">
        <v>3.0</v>
      </c>
      <c r="F25" s="25"/>
      <c r="G25" s="25"/>
      <c r="H25" s="25"/>
      <c r="I25" s="12">
        <v>46.0</v>
      </c>
      <c r="J25" s="13">
        <f t="shared" si="9"/>
        <v>138</v>
      </c>
      <c r="K25" s="14"/>
    </row>
    <row r="26">
      <c r="A26" s="7" t="s">
        <v>56</v>
      </c>
      <c r="B26" s="14"/>
      <c r="C26" s="14"/>
      <c r="D26" s="25"/>
      <c r="E26" s="25"/>
      <c r="F26" s="25"/>
      <c r="G26" s="25"/>
      <c r="H26" s="25"/>
      <c r="I26" s="13"/>
      <c r="J26" s="13">
        <f t="shared" si="9"/>
        <v>0</v>
      </c>
      <c r="K26" s="14"/>
    </row>
    <row r="27">
      <c r="A27" s="7"/>
      <c r="B27" s="7"/>
      <c r="C27" s="7"/>
      <c r="D27" s="25"/>
      <c r="E27" s="10"/>
      <c r="F27" s="25"/>
      <c r="G27" s="25"/>
      <c r="H27" s="25"/>
      <c r="I27" s="12"/>
      <c r="J27" s="13"/>
      <c r="K27" s="14"/>
    </row>
    <row r="28">
      <c r="A28" s="7"/>
      <c r="B28" s="7"/>
      <c r="C28" s="7"/>
      <c r="D28" s="25"/>
      <c r="E28" s="10"/>
      <c r="F28" s="25"/>
      <c r="G28" s="25"/>
      <c r="H28" s="25"/>
      <c r="I28" s="12"/>
      <c r="J28" s="13"/>
      <c r="K28" s="14"/>
    </row>
    <row r="29">
      <c r="A29" s="7"/>
      <c r="B29" s="7"/>
      <c r="C29" s="7"/>
      <c r="D29" s="25"/>
      <c r="E29" s="10"/>
      <c r="F29" s="25"/>
      <c r="G29" s="25"/>
      <c r="H29" s="25"/>
      <c r="I29" s="12"/>
      <c r="J29" s="13"/>
      <c r="K29" s="14"/>
    </row>
    <row r="30">
      <c r="A30" s="27" t="s">
        <v>57</v>
      </c>
      <c r="B30" s="28"/>
      <c r="C30" s="28"/>
      <c r="D30" s="28"/>
      <c r="E30" s="28"/>
      <c r="F30" s="28"/>
      <c r="G30" s="28"/>
      <c r="H30" s="28"/>
      <c r="I30" s="28"/>
      <c r="J30" s="29">
        <f>SUM(J3:J29)</f>
        <v>25120.24</v>
      </c>
      <c r="K30" s="30"/>
    </row>
  </sheetData>
  <mergeCells count="6">
    <mergeCell ref="A2:J2"/>
    <mergeCell ref="A11:J11"/>
    <mergeCell ref="A15:J15"/>
    <mergeCell ref="A19:J19"/>
    <mergeCell ref="A23:J23"/>
    <mergeCell ref="A30:I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9.25"/>
    <col customWidth="1" min="3" max="3" width="8.75"/>
    <col customWidth="1" min="6" max="8" width="8.38"/>
  </cols>
  <sheetData>
    <row r="1" ht="42.0" customHeight="1">
      <c r="A1" s="2" t="s">
        <v>58</v>
      </c>
      <c r="B1" s="2" t="s">
        <v>59</v>
      </c>
      <c r="C1" s="31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</row>
    <row r="2">
      <c r="A2" s="10" t="s">
        <v>66</v>
      </c>
      <c r="B2" s="10">
        <v>3.0</v>
      </c>
      <c r="C2" s="32">
        <v>6.0</v>
      </c>
      <c r="D2" s="10">
        <v>2.0</v>
      </c>
      <c r="E2" s="10">
        <f t="shared" ref="E2:E4" si="1">C2*D2</f>
        <v>12</v>
      </c>
      <c r="F2" s="10">
        <f t="shared" ref="F2:F4" si="2">E2*2</f>
        <v>24</v>
      </c>
      <c r="G2" s="10">
        <f t="shared" ref="G2:G4" si="3">E2*4</f>
        <v>48</v>
      </c>
      <c r="H2" s="10">
        <f t="shared" ref="H2:H4" si="4">(E2*2)+(B2*2)</f>
        <v>30</v>
      </c>
    </row>
    <row r="3">
      <c r="A3" s="10" t="s">
        <v>67</v>
      </c>
      <c r="B3" s="10">
        <v>3.0</v>
      </c>
      <c r="C3" s="32">
        <v>5.0</v>
      </c>
      <c r="D3" s="10">
        <v>3.0</v>
      </c>
      <c r="E3" s="10">
        <f t="shared" si="1"/>
        <v>15</v>
      </c>
      <c r="F3" s="10">
        <f t="shared" si="2"/>
        <v>30</v>
      </c>
      <c r="G3" s="10">
        <f t="shared" si="3"/>
        <v>60</v>
      </c>
      <c r="H3" s="10">
        <f t="shared" si="4"/>
        <v>36</v>
      </c>
    </row>
    <row r="4">
      <c r="A4" s="10" t="s">
        <v>67</v>
      </c>
      <c r="B4" s="10">
        <v>3.0</v>
      </c>
      <c r="C4" s="32">
        <v>5.0</v>
      </c>
      <c r="D4" s="10">
        <v>1.0</v>
      </c>
      <c r="E4" s="10">
        <f t="shared" si="1"/>
        <v>5</v>
      </c>
      <c r="F4" s="10">
        <f t="shared" si="2"/>
        <v>10</v>
      </c>
      <c r="G4" s="10">
        <f t="shared" si="3"/>
        <v>20</v>
      </c>
      <c r="H4" s="10">
        <f t="shared" si="4"/>
        <v>16</v>
      </c>
    </row>
    <row r="5">
      <c r="A5" s="33" t="s">
        <v>68</v>
      </c>
      <c r="B5" s="28"/>
      <c r="C5" s="28"/>
      <c r="D5" s="34"/>
      <c r="E5" s="35" t="s">
        <v>69</v>
      </c>
      <c r="F5" s="28"/>
      <c r="G5" s="28"/>
      <c r="H5" s="28"/>
    </row>
    <row r="6">
      <c r="A6" s="32" t="s">
        <v>70</v>
      </c>
      <c r="B6" s="32" t="s">
        <v>61</v>
      </c>
      <c r="C6" s="36" t="s">
        <v>8</v>
      </c>
      <c r="D6" s="37" t="s">
        <v>9</v>
      </c>
      <c r="E6" s="38" t="s">
        <v>71</v>
      </c>
      <c r="F6" s="5"/>
      <c r="G6" s="5"/>
      <c r="H6" s="5"/>
    </row>
    <row r="7">
      <c r="A7" s="33" t="s">
        <v>72</v>
      </c>
      <c r="B7" s="33">
        <v>2.0</v>
      </c>
      <c r="C7" s="39">
        <v>34.2</v>
      </c>
      <c r="D7" s="39">
        <f t="shared" ref="D7:D12" si="5">B7*C7</f>
        <v>68.4</v>
      </c>
      <c r="E7" s="40">
        <f>SUM(D7:D12)</f>
        <v>605</v>
      </c>
    </row>
    <row r="8">
      <c r="A8" s="32" t="s">
        <v>73</v>
      </c>
      <c r="B8" s="32">
        <v>4.0</v>
      </c>
      <c r="C8" s="39">
        <v>24.9</v>
      </c>
      <c r="D8" s="39">
        <f t="shared" si="5"/>
        <v>99.6</v>
      </c>
    </row>
    <row r="9">
      <c r="A9" s="32" t="s">
        <v>74</v>
      </c>
      <c r="B9" s="32">
        <v>3.0</v>
      </c>
      <c r="C9" s="39">
        <v>16.2</v>
      </c>
      <c r="D9" s="39">
        <f t="shared" si="5"/>
        <v>48.6</v>
      </c>
    </row>
    <row r="10">
      <c r="A10" s="32" t="s">
        <v>75</v>
      </c>
      <c r="B10" s="32">
        <v>4.0</v>
      </c>
      <c r="C10" s="39">
        <v>28.5</v>
      </c>
      <c r="D10" s="39">
        <f t="shared" si="5"/>
        <v>114</v>
      </c>
    </row>
    <row r="11">
      <c r="A11" s="32" t="s">
        <v>76</v>
      </c>
      <c r="B11" s="32">
        <v>8.0</v>
      </c>
      <c r="C11" s="39">
        <v>20.8</v>
      </c>
      <c r="D11" s="39">
        <f t="shared" si="5"/>
        <v>166.4</v>
      </c>
    </row>
    <row r="12">
      <c r="A12" s="32" t="s">
        <v>77</v>
      </c>
      <c r="B12" s="32">
        <v>8.0</v>
      </c>
      <c r="C12" s="39">
        <v>13.5</v>
      </c>
      <c r="D12" s="39">
        <f t="shared" si="5"/>
        <v>108</v>
      </c>
    </row>
  </sheetData>
  <mergeCells count="4">
    <mergeCell ref="A5:D5"/>
    <mergeCell ref="E5:H5"/>
    <mergeCell ref="E6:H6"/>
    <mergeCell ref="E7:H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6.88"/>
    <col customWidth="1" min="3" max="3" width="21.5"/>
    <col customWidth="1" min="4" max="4" width="36.38"/>
    <col customWidth="1" min="5" max="6" width="11.5"/>
    <col customWidth="1" min="7" max="7" width="6.88"/>
    <col customWidth="1" min="8" max="8" width="8.88"/>
    <col customWidth="1" min="9" max="9" width="12.25"/>
    <col customWidth="1" min="10" max="10" width="11.75"/>
    <col customWidth="1" min="11" max="11" width="28.25"/>
  </cols>
  <sheetData>
    <row r="1">
      <c r="A1" s="41" t="s">
        <v>78</v>
      </c>
      <c r="B1" s="41" t="s">
        <v>79</v>
      </c>
      <c r="C1" s="41" t="s">
        <v>70</v>
      </c>
      <c r="D1" s="41" t="s">
        <v>80</v>
      </c>
      <c r="E1" s="41" t="s">
        <v>81</v>
      </c>
      <c r="F1" s="41" t="s">
        <v>81</v>
      </c>
      <c r="G1" s="41" t="s">
        <v>82</v>
      </c>
      <c r="H1" s="41" t="s">
        <v>8</v>
      </c>
      <c r="I1" s="41" t="s">
        <v>83</v>
      </c>
      <c r="J1" s="41" t="s">
        <v>84</v>
      </c>
      <c r="K1" s="41" t="s">
        <v>85</v>
      </c>
    </row>
    <row r="2">
      <c r="A2" s="42" t="s">
        <v>86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>
      <c r="A3" s="26" t="s">
        <v>87</v>
      </c>
      <c r="B3" s="26">
        <v>1.0</v>
      </c>
      <c r="C3" s="44"/>
      <c r="D3" s="26" t="s">
        <v>88</v>
      </c>
      <c r="E3" s="26">
        <v>722.33</v>
      </c>
      <c r="F3" s="26" t="s">
        <v>89</v>
      </c>
      <c r="G3" s="44"/>
      <c r="H3" s="44"/>
      <c r="I3" s="45">
        <v>0.0</v>
      </c>
      <c r="J3" s="44"/>
      <c r="K3" s="44"/>
    </row>
    <row r="4">
      <c r="A4" s="26" t="s">
        <v>90</v>
      </c>
      <c r="B4" s="26">
        <v>1.0</v>
      </c>
      <c r="C4" s="44"/>
      <c r="D4" s="26" t="s">
        <v>91</v>
      </c>
      <c r="E4" s="26">
        <v>721.44</v>
      </c>
      <c r="F4" s="26" t="s">
        <v>89</v>
      </c>
      <c r="G4" s="44"/>
      <c r="H4" s="44"/>
      <c r="I4" s="45">
        <v>0.0</v>
      </c>
      <c r="J4" s="44"/>
      <c r="K4" s="44"/>
    </row>
    <row r="5">
      <c r="A5" s="26" t="s">
        <v>92</v>
      </c>
      <c r="B5" s="26">
        <v>1.0</v>
      </c>
      <c r="C5" s="44"/>
      <c r="D5" s="26" t="s">
        <v>93</v>
      </c>
      <c r="E5" s="26">
        <v>204.22</v>
      </c>
      <c r="F5" s="26" t="s">
        <v>89</v>
      </c>
      <c r="G5" s="44"/>
      <c r="H5" s="44"/>
      <c r="I5" s="45">
        <v>0.0</v>
      </c>
      <c r="J5" s="44"/>
      <c r="K5" s="44"/>
    </row>
    <row r="6">
      <c r="A6" s="26" t="s">
        <v>94</v>
      </c>
      <c r="B6" s="26">
        <v>1.0</v>
      </c>
      <c r="C6" s="44"/>
      <c r="D6" s="26" t="s">
        <v>95</v>
      </c>
      <c r="E6" s="26">
        <v>27.0</v>
      </c>
      <c r="F6" s="26" t="s">
        <v>89</v>
      </c>
      <c r="G6" s="44"/>
      <c r="H6" s="44"/>
      <c r="I6" s="45">
        <v>0.0</v>
      </c>
      <c r="J6" s="44"/>
      <c r="K6" s="44"/>
    </row>
    <row r="7">
      <c r="A7" s="26" t="s">
        <v>96</v>
      </c>
      <c r="B7" s="26">
        <v>1.0</v>
      </c>
      <c r="C7" s="44"/>
      <c r="D7" s="26" t="s">
        <v>97</v>
      </c>
      <c r="E7" s="26">
        <v>194.71</v>
      </c>
      <c r="F7" s="26" t="s">
        <v>89</v>
      </c>
      <c r="G7" s="44"/>
      <c r="H7" s="44"/>
      <c r="I7" s="45">
        <v>0.0</v>
      </c>
      <c r="J7" s="44"/>
      <c r="K7" s="44"/>
    </row>
    <row r="8">
      <c r="A8" s="26" t="s">
        <v>98</v>
      </c>
      <c r="B8" s="26">
        <v>1.0</v>
      </c>
      <c r="C8" s="44"/>
      <c r="D8" s="26" t="s">
        <v>99</v>
      </c>
      <c r="E8" s="26">
        <v>36.5</v>
      </c>
      <c r="F8" s="26" t="s">
        <v>89</v>
      </c>
      <c r="G8" s="44"/>
      <c r="H8" s="44"/>
      <c r="I8" s="45">
        <v>0.0</v>
      </c>
      <c r="J8" s="44"/>
      <c r="K8" s="44"/>
    </row>
    <row r="9">
      <c r="A9" s="26" t="s">
        <v>100</v>
      </c>
      <c r="B9" s="26">
        <v>1.0</v>
      </c>
      <c r="C9" s="44"/>
      <c r="D9" s="26" t="s">
        <v>101</v>
      </c>
      <c r="E9" s="26">
        <v>211.26</v>
      </c>
      <c r="F9" s="26" t="s">
        <v>89</v>
      </c>
      <c r="G9" s="44"/>
      <c r="H9" s="44"/>
      <c r="I9" s="45">
        <v>0.0</v>
      </c>
      <c r="J9" s="44"/>
      <c r="K9" s="44"/>
    </row>
    <row r="10">
      <c r="A10" s="26" t="s">
        <v>102</v>
      </c>
      <c r="B10" s="26">
        <v>1.0</v>
      </c>
      <c r="C10" s="44"/>
      <c r="D10" s="26" t="s">
        <v>103</v>
      </c>
      <c r="E10" s="26">
        <v>19.97</v>
      </c>
      <c r="F10" s="26" t="s">
        <v>89</v>
      </c>
      <c r="G10" s="44"/>
      <c r="H10" s="44"/>
      <c r="I10" s="45">
        <v>0.0</v>
      </c>
      <c r="J10" s="44"/>
      <c r="K10" s="44"/>
    </row>
    <row r="11">
      <c r="A11" s="26" t="s">
        <v>104</v>
      </c>
      <c r="B11" s="26">
        <v>1.0</v>
      </c>
      <c r="C11" s="26" t="s">
        <v>105</v>
      </c>
      <c r="D11" s="26" t="s">
        <v>106</v>
      </c>
      <c r="E11" s="26">
        <v>95.0</v>
      </c>
      <c r="F11" s="26" t="s">
        <v>107</v>
      </c>
      <c r="G11" s="44"/>
      <c r="H11" s="44"/>
      <c r="I11" s="45">
        <v>0.0</v>
      </c>
      <c r="J11" s="44"/>
      <c r="K11" s="44"/>
    </row>
    <row r="12">
      <c r="A12" s="26" t="s">
        <v>108</v>
      </c>
      <c r="B12" s="26">
        <v>1.0</v>
      </c>
      <c r="C12" s="26" t="s">
        <v>105</v>
      </c>
      <c r="D12" s="26" t="s">
        <v>109</v>
      </c>
      <c r="E12" s="26">
        <v>30.0</v>
      </c>
      <c r="F12" s="26" t="s">
        <v>107</v>
      </c>
      <c r="G12" s="44"/>
      <c r="H12" s="44"/>
      <c r="I12" s="45">
        <v>0.0</v>
      </c>
      <c r="J12" s="44"/>
      <c r="K12" s="44"/>
    </row>
    <row r="13">
      <c r="A13" s="26" t="s">
        <v>110</v>
      </c>
      <c r="B13" s="26">
        <v>1.0</v>
      </c>
      <c r="C13" s="26" t="s">
        <v>105</v>
      </c>
      <c r="D13" s="26" t="s">
        <v>111</v>
      </c>
      <c r="E13" s="26">
        <v>6.0</v>
      </c>
      <c r="F13" s="26" t="s">
        <v>107</v>
      </c>
      <c r="G13" s="44"/>
      <c r="H13" s="44"/>
      <c r="I13" s="45">
        <v>0.0</v>
      </c>
      <c r="J13" s="44"/>
      <c r="K13" s="44"/>
    </row>
    <row r="14">
      <c r="A14" s="26" t="s">
        <v>112</v>
      </c>
      <c r="B14" s="26">
        <v>2.0</v>
      </c>
      <c r="C14" s="26" t="s">
        <v>113</v>
      </c>
      <c r="D14" s="26" t="s">
        <v>114</v>
      </c>
      <c r="E14" s="26">
        <v>16.0</v>
      </c>
      <c r="F14" s="26" t="s">
        <v>107</v>
      </c>
      <c r="G14" s="44"/>
      <c r="H14" s="44"/>
      <c r="I14" s="45">
        <v>0.0</v>
      </c>
      <c r="J14" s="44"/>
      <c r="K14" s="44"/>
    </row>
    <row r="15">
      <c r="A15" s="26" t="s">
        <v>115</v>
      </c>
      <c r="B15" s="26">
        <v>2.0</v>
      </c>
      <c r="C15" s="26" t="s">
        <v>116</v>
      </c>
      <c r="D15" s="26" t="s">
        <v>114</v>
      </c>
      <c r="E15" s="26">
        <v>24.0</v>
      </c>
      <c r="F15" s="26" t="s">
        <v>107</v>
      </c>
      <c r="G15" s="44"/>
      <c r="H15" s="44"/>
      <c r="I15" s="45">
        <v>0.0</v>
      </c>
      <c r="J15" s="44"/>
      <c r="K15" s="44"/>
    </row>
    <row r="16">
      <c r="A16" s="26" t="s">
        <v>117</v>
      </c>
      <c r="B16" s="26">
        <v>2.0</v>
      </c>
      <c r="C16" s="26" t="s">
        <v>118</v>
      </c>
      <c r="D16" s="26" t="s">
        <v>106</v>
      </c>
      <c r="E16" s="26">
        <v>24.0</v>
      </c>
      <c r="F16" s="26" t="s">
        <v>107</v>
      </c>
      <c r="G16" s="44"/>
      <c r="H16" s="44"/>
      <c r="I16" s="45">
        <v>0.0</v>
      </c>
      <c r="J16" s="44"/>
      <c r="K16" s="44"/>
    </row>
    <row r="17">
      <c r="A17" s="44"/>
      <c r="B17" s="44"/>
      <c r="C17" s="44"/>
      <c r="D17" s="44"/>
      <c r="E17" s="44"/>
      <c r="F17" s="44"/>
      <c r="G17" s="44"/>
      <c r="H17" s="26" t="s">
        <v>119</v>
      </c>
      <c r="I17" s="45">
        <v>0.0</v>
      </c>
      <c r="J17" s="44"/>
      <c r="K17" s="44"/>
    </row>
    <row r="18">
      <c r="A18" s="42" t="s">
        <v>120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>
      <c r="A19" s="26" t="s">
        <v>121</v>
      </c>
      <c r="B19" s="26">
        <v>1.0</v>
      </c>
      <c r="C19" s="26" t="s">
        <v>122</v>
      </c>
      <c r="D19" s="26" t="s">
        <v>123</v>
      </c>
      <c r="E19" s="26">
        <v>25.0</v>
      </c>
      <c r="F19" s="26"/>
      <c r="G19" s="44"/>
      <c r="H19" s="44"/>
      <c r="I19" s="45">
        <v>0.0</v>
      </c>
      <c r="J19" s="44"/>
      <c r="K19" s="44"/>
    </row>
    <row r="20">
      <c r="A20" s="44"/>
      <c r="B20" s="44"/>
      <c r="C20" s="44"/>
      <c r="D20" s="44"/>
      <c r="E20" s="44"/>
      <c r="F20" s="44"/>
      <c r="G20" s="44"/>
      <c r="H20" s="26" t="s">
        <v>119</v>
      </c>
      <c r="I20" s="45">
        <v>0.0</v>
      </c>
      <c r="J20" s="44"/>
      <c r="K20" s="44"/>
    </row>
    <row r="21">
      <c r="A21" s="42" t="s">
        <v>124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>
      <c r="A22" s="26" t="s">
        <v>125</v>
      </c>
      <c r="B22" s="26">
        <v>2.0</v>
      </c>
      <c r="C22" s="26" t="s">
        <v>126</v>
      </c>
      <c r="D22" s="26" t="s">
        <v>127</v>
      </c>
      <c r="E22" s="26">
        <v>77.0</v>
      </c>
      <c r="F22" s="26" t="s">
        <v>107</v>
      </c>
      <c r="G22" s="44"/>
      <c r="H22" s="44"/>
      <c r="I22" s="45">
        <v>0.0</v>
      </c>
      <c r="J22" s="44"/>
      <c r="K22" s="44"/>
    </row>
    <row r="23">
      <c r="A23" s="26" t="s">
        <v>128</v>
      </c>
      <c r="B23" s="26">
        <v>2.0</v>
      </c>
      <c r="C23" s="26" t="s">
        <v>126</v>
      </c>
      <c r="D23" s="26" t="s">
        <v>129</v>
      </c>
      <c r="E23" s="26">
        <v>49.0</v>
      </c>
      <c r="F23" s="26" t="s">
        <v>107</v>
      </c>
      <c r="G23" s="44"/>
      <c r="H23" s="44"/>
      <c r="I23" s="45">
        <v>0.0</v>
      </c>
      <c r="J23" s="44"/>
      <c r="K23" s="44"/>
    </row>
    <row r="24">
      <c r="A24" s="26" t="s">
        <v>130</v>
      </c>
      <c r="B24" s="26">
        <v>1.0</v>
      </c>
      <c r="C24" s="26" t="s">
        <v>126</v>
      </c>
      <c r="D24" s="26" t="s">
        <v>131</v>
      </c>
      <c r="E24" s="26">
        <v>577.0</v>
      </c>
      <c r="F24" s="26" t="s">
        <v>107</v>
      </c>
      <c r="G24" s="44"/>
      <c r="H24" s="44"/>
      <c r="I24" s="45">
        <v>0.0</v>
      </c>
      <c r="J24" s="44"/>
      <c r="K24" s="44"/>
    </row>
    <row r="25">
      <c r="A25" s="26" t="s">
        <v>132</v>
      </c>
      <c r="B25" s="26">
        <v>1.0</v>
      </c>
      <c r="C25" s="26" t="s">
        <v>126</v>
      </c>
      <c r="D25" s="26" t="s">
        <v>133</v>
      </c>
      <c r="E25" s="26">
        <v>64.0</v>
      </c>
      <c r="F25" s="26" t="s">
        <v>107</v>
      </c>
      <c r="G25" s="44"/>
      <c r="H25" s="44"/>
      <c r="I25" s="45">
        <v>0.0</v>
      </c>
      <c r="J25" s="44"/>
      <c r="K25" s="44"/>
    </row>
    <row r="26">
      <c r="A26" s="26" t="s">
        <v>134</v>
      </c>
      <c r="B26" s="26">
        <v>1.0</v>
      </c>
      <c r="C26" s="26" t="s">
        <v>135</v>
      </c>
      <c r="D26" s="26" t="s">
        <v>127</v>
      </c>
      <c r="E26" s="26">
        <v>18.0</v>
      </c>
      <c r="F26" s="26" t="s">
        <v>107</v>
      </c>
      <c r="G26" s="44"/>
      <c r="H26" s="44"/>
      <c r="I26" s="45">
        <v>0.0</v>
      </c>
      <c r="J26" s="44"/>
      <c r="K26" s="44"/>
    </row>
    <row r="27">
      <c r="A27" s="26" t="s">
        <v>136</v>
      </c>
      <c r="B27" s="26">
        <v>1.0</v>
      </c>
      <c r="C27" s="26" t="s">
        <v>135</v>
      </c>
      <c r="D27" s="26" t="s">
        <v>129</v>
      </c>
      <c r="E27" s="26">
        <v>58.0</v>
      </c>
      <c r="F27" s="26" t="s">
        <v>107</v>
      </c>
      <c r="G27" s="44"/>
      <c r="H27" s="44"/>
      <c r="I27" s="45">
        <v>0.0</v>
      </c>
      <c r="J27" s="44"/>
      <c r="K27" s="44"/>
    </row>
    <row r="28">
      <c r="A28" s="26" t="s">
        <v>137</v>
      </c>
      <c r="B28" s="26">
        <v>2.0</v>
      </c>
      <c r="C28" s="26" t="s">
        <v>138</v>
      </c>
      <c r="D28" s="26" t="s">
        <v>127</v>
      </c>
      <c r="E28" s="26">
        <v>54.0</v>
      </c>
      <c r="F28" s="26" t="s">
        <v>107</v>
      </c>
      <c r="G28" s="44"/>
      <c r="H28" s="44"/>
      <c r="I28" s="45">
        <v>0.0</v>
      </c>
      <c r="J28" s="44"/>
      <c r="K28" s="44"/>
    </row>
    <row r="29">
      <c r="A29" s="26" t="s">
        <v>139</v>
      </c>
      <c r="B29" s="26">
        <v>2.0</v>
      </c>
      <c r="C29" s="26" t="s">
        <v>138</v>
      </c>
      <c r="D29" s="26" t="s">
        <v>129</v>
      </c>
      <c r="E29" s="26">
        <v>50.0</v>
      </c>
      <c r="F29" s="26" t="s">
        <v>107</v>
      </c>
      <c r="G29" s="44"/>
      <c r="H29" s="44"/>
      <c r="I29" s="45">
        <v>0.0</v>
      </c>
      <c r="J29" s="44"/>
      <c r="K29" s="44"/>
    </row>
    <row r="30">
      <c r="A30" s="26" t="s">
        <v>140</v>
      </c>
      <c r="B30" s="26">
        <v>1.0</v>
      </c>
      <c r="C30" s="26" t="s">
        <v>138</v>
      </c>
      <c r="D30" s="26" t="s">
        <v>127</v>
      </c>
      <c r="E30" s="26">
        <v>296.0</v>
      </c>
      <c r="F30" s="26" t="s">
        <v>107</v>
      </c>
      <c r="G30" s="44"/>
      <c r="H30" s="44"/>
      <c r="I30" s="45">
        <v>0.0</v>
      </c>
      <c r="J30" s="44"/>
      <c r="K30" s="44"/>
    </row>
    <row r="31">
      <c r="A31" s="26" t="s">
        <v>141</v>
      </c>
      <c r="B31" s="26">
        <v>1.0</v>
      </c>
      <c r="C31" s="26" t="s">
        <v>138</v>
      </c>
      <c r="D31" s="26" t="s">
        <v>129</v>
      </c>
      <c r="E31" s="26">
        <v>853.0</v>
      </c>
      <c r="F31" s="26" t="s">
        <v>107</v>
      </c>
      <c r="G31" s="44"/>
      <c r="H31" s="44"/>
      <c r="I31" s="45">
        <v>0.0</v>
      </c>
      <c r="J31" s="44"/>
      <c r="K31" s="44"/>
    </row>
    <row r="32">
      <c r="A32" s="26" t="s">
        <v>142</v>
      </c>
      <c r="B32" s="26">
        <v>1.0</v>
      </c>
      <c r="C32" s="26" t="s">
        <v>143</v>
      </c>
      <c r="D32" s="26" t="s">
        <v>127</v>
      </c>
      <c r="E32" s="26">
        <v>79.0</v>
      </c>
      <c r="F32" s="26" t="s">
        <v>107</v>
      </c>
      <c r="G32" s="44"/>
      <c r="H32" s="44"/>
      <c r="I32" s="45">
        <v>0.0</v>
      </c>
      <c r="J32" s="44"/>
      <c r="K32" s="44"/>
    </row>
    <row r="33">
      <c r="A33" s="26" t="s">
        <v>144</v>
      </c>
      <c r="B33" s="26">
        <v>1.0</v>
      </c>
      <c r="C33" s="26" t="s">
        <v>143</v>
      </c>
      <c r="D33" s="26" t="s">
        <v>129</v>
      </c>
      <c r="E33" s="26">
        <v>344.0</v>
      </c>
      <c r="F33" s="26" t="s">
        <v>107</v>
      </c>
      <c r="G33" s="44"/>
      <c r="H33" s="44"/>
      <c r="I33" s="45">
        <v>0.0</v>
      </c>
      <c r="J33" s="44"/>
      <c r="K33" s="44"/>
    </row>
    <row r="34">
      <c r="A34" s="26" t="s">
        <v>145</v>
      </c>
      <c r="B34" s="26">
        <v>1.0</v>
      </c>
      <c r="C34" s="26" t="s">
        <v>146</v>
      </c>
      <c r="D34" s="26" t="s">
        <v>147</v>
      </c>
      <c r="E34" s="26">
        <v>1.0</v>
      </c>
      <c r="F34" s="26" t="s">
        <v>107</v>
      </c>
      <c r="G34" s="44"/>
      <c r="H34" s="44"/>
      <c r="I34" s="45">
        <v>0.0</v>
      </c>
      <c r="J34" s="44"/>
      <c r="K34" s="44"/>
    </row>
    <row r="35">
      <c r="A35" s="44"/>
      <c r="B35" s="44"/>
      <c r="C35" s="44"/>
      <c r="D35" s="44"/>
      <c r="E35" s="44"/>
      <c r="F35" s="44"/>
      <c r="G35" s="44"/>
      <c r="H35" s="26" t="s">
        <v>119</v>
      </c>
      <c r="I35" s="45">
        <v>0.0</v>
      </c>
      <c r="J35" s="44"/>
      <c r="K35" s="44"/>
    </row>
    <row r="36">
      <c r="A36" s="42" t="s">
        <v>26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</row>
    <row r="37">
      <c r="A37" s="26" t="s">
        <v>148</v>
      </c>
      <c r="B37" s="26">
        <v>1.0</v>
      </c>
      <c r="C37" s="26" t="s">
        <v>149</v>
      </c>
      <c r="D37" s="26" t="s">
        <v>150</v>
      </c>
      <c r="E37" s="26">
        <v>2620.0</v>
      </c>
      <c r="F37" s="26" t="s">
        <v>107</v>
      </c>
      <c r="G37" s="44"/>
      <c r="H37" s="44"/>
      <c r="I37" s="45">
        <v>0.0</v>
      </c>
      <c r="J37" s="44"/>
      <c r="K37" s="44"/>
    </row>
    <row r="38">
      <c r="A38" s="26" t="s">
        <v>151</v>
      </c>
      <c r="B38" s="26">
        <v>1.0</v>
      </c>
      <c r="C38" s="44"/>
      <c r="D38" s="26" t="s">
        <v>152</v>
      </c>
      <c r="E38" s="26">
        <v>866.89</v>
      </c>
      <c r="F38" s="26" t="s">
        <v>89</v>
      </c>
      <c r="G38" s="44"/>
      <c r="H38" s="44"/>
      <c r="I38" s="45">
        <v>0.0</v>
      </c>
      <c r="J38" s="44"/>
      <c r="K38" s="44"/>
    </row>
    <row r="39">
      <c r="A39" s="26" t="s">
        <v>153</v>
      </c>
      <c r="B39" s="26">
        <v>1.0</v>
      </c>
      <c r="C39" s="26" t="s">
        <v>154</v>
      </c>
      <c r="D39" s="26" t="s">
        <v>123</v>
      </c>
      <c r="E39" s="26">
        <v>29.0</v>
      </c>
      <c r="F39" s="26"/>
      <c r="G39" s="44"/>
      <c r="H39" s="44"/>
      <c r="I39" s="45">
        <v>0.0</v>
      </c>
      <c r="J39" s="44"/>
      <c r="K39" s="44"/>
    </row>
    <row r="40">
      <c r="A40" s="26" t="s">
        <v>155</v>
      </c>
      <c r="B40" s="26">
        <v>2.0</v>
      </c>
      <c r="C40" s="26" t="s">
        <v>156</v>
      </c>
      <c r="D40" s="26" t="s">
        <v>150</v>
      </c>
      <c r="E40" s="26">
        <v>529.0</v>
      </c>
      <c r="F40" s="26" t="s">
        <v>107</v>
      </c>
      <c r="G40" s="44"/>
      <c r="H40" s="44"/>
      <c r="I40" s="45">
        <v>0.0</v>
      </c>
      <c r="J40" s="44"/>
      <c r="K40" s="44"/>
    </row>
    <row r="41">
      <c r="A41" s="26" t="s">
        <v>157</v>
      </c>
      <c r="B41" s="26">
        <v>2.0</v>
      </c>
      <c r="C41" s="26" t="s">
        <v>156</v>
      </c>
      <c r="D41" s="26" t="s">
        <v>158</v>
      </c>
      <c r="E41" s="26">
        <v>3.0</v>
      </c>
      <c r="F41" s="26" t="s">
        <v>107</v>
      </c>
      <c r="G41" s="44"/>
      <c r="H41" s="44"/>
      <c r="I41" s="44"/>
      <c r="J41" s="44"/>
      <c r="K41" s="44"/>
    </row>
    <row r="42">
      <c r="A42" s="26" t="s">
        <v>157</v>
      </c>
      <c r="B42" s="26">
        <v>2.0</v>
      </c>
      <c r="C42" s="26" t="s">
        <v>156</v>
      </c>
      <c r="D42" s="26" t="s">
        <v>158</v>
      </c>
      <c r="E42" s="26">
        <v>263.0</v>
      </c>
      <c r="F42" s="26" t="s">
        <v>107</v>
      </c>
      <c r="G42" s="44"/>
      <c r="H42" s="44"/>
      <c r="I42" s="44"/>
      <c r="J42" s="44"/>
      <c r="K42" s="44"/>
    </row>
    <row r="43">
      <c r="A43" s="26" t="s">
        <v>157</v>
      </c>
      <c r="B43" s="26">
        <v>2.0</v>
      </c>
      <c r="C43" s="26" t="s">
        <v>156</v>
      </c>
      <c r="D43" s="26" t="s">
        <v>158</v>
      </c>
      <c r="E43" s="26">
        <v>3.0</v>
      </c>
      <c r="F43" s="26" t="s">
        <v>107</v>
      </c>
      <c r="G43" s="44"/>
      <c r="H43" s="44"/>
      <c r="I43" s="44"/>
      <c r="J43" s="44"/>
      <c r="K43" s="44"/>
    </row>
    <row r="44">
      <c r="A44" s="26" t="s">
        <v>157</v>
      </c>
      <c r="B44" s="26">
        <v>2.0</v>
      </c>
      <c r="C44" s="26" t="s">
        <v>156</v>
      </c>
      <c r="D44" s="26" t="s">
        <v>158</v>
      </c>
      <c r="E44" s="26">
        <v>263.0</v>
      </c>
      <c r="F44" s="26" t="s">
        <v>107</v>
      </c>
      <c r="G44" s="44"/>
      <c r="H44" s="44"/>
      <c r="I44" s="44"/>
      <c r="J44" s="44"/>
      <c r="K44" s="44"/>
    </row>
    <row r="45">
      <c r="A45" s="26" t="s">
        <v>159</v>
      </c>
      <c r="B45" s="26">
        <v>2.0</v>
      </c>
      <c r="C45" s="44"/>
      <c r="D45" s="26" t="s">
        <v>152</v>
      </c>
      <c r="E45" s="26">
        <v>176.02</v>
      </c>
      <c r="F45" s="26" t="s">
        <v>89</v>
      </c>
      <c r="G45" s="44"/>
      <c r="H45" s="44"/>
      <c r="I45" s="45">
        <v>0.0</v>
      </c>
      <c r="J45" s="44"/>
      <c r="K45" s="44"/>
    </row>
    <row r="46">
      <c r="A46" s="26" t="s">
        <v>160</v>
      </c>
      <c r="B46" s="26">
        <v>2.0</v>
      </c>
      <c r="C46" s="26" t="s">
        <v>154</v>
      </c>
      <c r="D46" s="26" t="s">
        <v>123</v>
      </c>
      <c r="E46" s="26">
        <v>6.0</v>
      </c>
      <c r="F46" s="26"/>
      <c r="G46" s="44"/>
      <c r="H46" s="44"/>
      <c r="I46" s="45">
        <v>0.0</v>
      </c>
      <c r="J46" s="44"/>
      <c r="K46" s="44"/>
    </row>
    <row r="47">
      <c r="A47" s="44"/>
      <c r="B47" s="44"/>
      <c r="C47" s="44"/>
      <c r="D47" s="44"/>
      <c r="E47" s="44"/>
      <c r="F47" s="44"/>
      <c r="G47" s="44"/>
      <c r="H47" s="26" t="s">
        <v>119</v>
      </c>
      <c r="I47" s="45">
        <v>0.0</v>
      </c>
      <c r="J47" s="44"/>
      <c r="K47" s="44"/>
    </row>
    <row r="48">
      <c r="A48" s="42" t="s">
        <v>161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</row>
    <row r="49">
      <c r="A49" s="26" t="s">
        <v>162</v>
      </c>
      <c r="B49" s="26">
        <v>1.0</v>
      </c>
      <c r="C49" s="26" t="s">
        <v>163</v>
      </c>
      <c r="D49" s="26" t="s">
        <v>164</v>
      </c>
      <c r="E49" s="26">
        <v>22.0</v>
      </c>
      <c r="F49" s="26" t="s">
        <v>107</v>
      </c>
      <c r="G49" s="44"/>
      <c r="H49" s="44"/>
      <c r="I49" s="45">
        <v>0.0</v>
      </c>
      <c r="J49" s="44"/>
      <c r="K49" s="44"/>
    </row>
    <row r="50">
      <c r="A50" s="26" t="s">
        <v>165</v>
      </c>
      <c r="B50" s="26">
        <v>1.0</v>
      </c>
      <c r="C50" s="26" t="s">
        <v>166</v>
      </c>
      <c r="D50" s="26" t="s">
        <v>167</v>
      </c>
      <c r="E50" s="26">
        <v>22.0</v>
      </c>
      <c r="F50" s="26" t="s">
        <v>107</v>
      </c>
      <c r="G50" s="44"/>
      <c r="H50" s="44"/>
      <c r="I50" s="45">
        <v>0.0</v>
      </c>
      <c r="J50" s="44"/>
      <c r="K50" s="44"/>
    </row>
    <row r="51">
      <c r="A51" s="26" t="s">
        <v>168</v>
      </c>
      <c r="B51" s="26">
        <v>1.0</v>
      </c>
      <c r="C51" s="26" t="s">
        <v>163</v>
      </c>
      <c r="D51" s="26" t="s">
        <v>169</v>
      </c>
      <c r="E51" s="26">
        <v>86.0</v>
      </c>
      <c r="F51" s="26" t="s">
        <v>107</v>
      </c>
      <c r="G51" s="44"/>
      <c r="H51" s="44"/>
      <c r="I51" s="45">
        <v>0.0</v>
      </c>
      <c r="J51" s="44"/>
      <c r="K51" s="44"/>
    </row>
    <row r="52">
      <c r="A52" s="26" t="s">
        <v>170</v>
      </c>
      <c r="B52" s="26">
        <v>1.0</v>
      </c>
      <c r="C52" s="26" t="s">
        <v>171</v>
      </c>
      <c r="D52" s="26" t="s">
        <v>172</v>
      </c>
      <c r="E52" s="26">
        <v>1.0</v>
      </c>
      <c r="F52" s="26"/>
      <c r="G52" s="44"/>
      <c r="H52" s="44"/>
      <c r="I52" s="45">
        <v>0.0</v>
      </c>
      <c r="J52" s="44"/>
      <c r="K52" s="44"/>
    </row>
    <row r="53">
      <c r="A53" s="26" t="s">
        <v>173</v>
      </c>
      <c r="B53" s="26">
        <v>1.0</v>
      </c>
      <c r="C53" s="26" t="s">
        <v>163</v>
      </c>
      <c r="D53" s="26" t="s">
        <v>174</v>
      </c>
      <c r="E53" s="26">
        <v>18.0</v>
      </c>
      <c r="F53" s="26" t="s">
        <v>107</v>
      </c>
      <c r="G53" s="44"/>
      <c r="H53" s="44"/>
      <c r="I53" s="45">
        <v>0.0</v>
      </c>
      <c r="J53" s="44"/>
      <c r="K53" s="44"/>
    </row>
    <row r="54">
      <c r="A54" s="26" t="s">
        <v>175</v>
      </c>
      <c r="B54" s="26">
        <v>1.0</v>
      </c>
      <c r="C54" s="26" t="s">
        <v>176</v>
      </c>
      <c r="D54" s="26" t="s">
        <v>177</v>
      </c>
      <c r="E54" s="26">
        <v>17.0</v>
      </c>
      <c r="F54" s="26" t="s">
        <v>107</v>
      </c>
      <c r="G54" s="44"/>
      <c r="H54" s="44"/>
      <c r="I54" s="45">
        <v>0.0</v>
      </c>
      <c r="J54" s="44"/>
      <c r="K54" s="44"/>
    </row>
    <row r="55">
      <c r="A55" s="44"/>
      <c r="B55" s="44"/>
      <c r="C55" s="44"/>
      <c r="D55" s="44"/>
      <c r="E55" s="44"/>
      <c r="F55" s="44"/>
      <c r="G55" s="44"/>
      <c r="H55" s="26" t="s">
        <v>119</v>
      </c>
      <c r="I55" s="45">
        <v>0.0</v>
      </c>
      <c r="J55" s="44"/>
      <c r="K55" s="44"/>
    </row>
    <row r="56">
      <c r="A56" s="42" t="s">
        <v>178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>
      <c r="A57" s="26" t="s">
        <v>179</v>
      </c>
      <c r="B57" s="26">
        <v>1.0</v>
      </c>
      <c r="C57" s="44"/>
      <c r="D57" s="26" t="s">
        <v>180</v>
      </c>
      <c r="E57" s="26">
        <v>72.0</v>
      </c>
      <c r="F57" s="26" t="s">
        <v>107</v>
      </c>
      <c r="G57" s="44"/>
      <c r="H57" s="44"/>
      <c r="I57" s="45">
        <v>0.0</v>
      </c>
      <c r="J57" s="44"/>
      <c r="K57" s="44"/>
    </row>
    <row r="58">
      <c r="A58" s="26" t="s">
        <v>181</v>
      </c>
      <c r="B58" s="26">
        <v>1.0</v>
      </c>
      <c r="C58" s="44"/>
      <c r="D58" s="26" t="s">
        <v>182</v>
      </c>
      <c r="E58" s="26">
        <v>54.0</v>
      </c>
      <c r="F58" s="26" t="s">
        <v>107</v>
      </c>
      <c r="G58" s="44"/>
      <c r="H58" s="44"/>
      <c r="I58" s="45">
        <v>0.0</v>
      </c>
      <c r="J58" s="44"/>
      <c r="K58" s="44"/>
    </row>
    <row r="59">
      <c r="A59" s="26" t="s">
        <v>183</v>
      </c>
      <c r="B59" s="26">
        <v>1.0</v>
      </c>
      <c r="C59" s="26" t="s">
        <v>184</v>
      </c>
      <c r="D59" s="26" t="s">
        <v>185</v>
      </c>
      <c r="E59" s="26">
        <v>2507.0</v>
      </c>
      <c r="F59" s="26"/>
      <c r="G59" s="44"/>
      <c r="H59" s="44"/>
      <c r="I59" s="45">
        <v>0.0</v>
      </c>
      <c r="J59" s="44"/>
      <c r="K59" s="44"/>
    </row>
    <row r="60">
      <c r="A60" s="26" t="s">
        <v>186</v>
      </c>
      <c r="B60" s="26">
        <v>1.0</v>
      </c>
      <c r="C60" s="26" t="s">
        <v>187</v>
      </c>
      <c r="D60" s="26" t="s">
        <v>123</v>
      </c>
      <c r="E60" s="26">
        <v>36.0</v>
      </c>
      <c r="F60" s="26"/>
      <c r="G60" s="44"/>
      <c r="H60" s="44"/>
      <c r="I60" s="45">
        <v>0.0</v>
      </c>
      <c r="J60" s="44"/>
      <c r="K60" s="44"/>
    </row>
    <row r="61">
      <c r="A61" s="26" t="s">
        <v>188</v>
      </c>
      <c r="B61" s="26">
        <v>1.0</v>
      </c>
      <c r="C61" s="26" t="s">
        <v>189</v>
      </c>
      <c r="D61" s="26" t="s">
        <v>190</v>
      </c>
      <c r="E61" s="26">
        <v>211.92</v>
      </c>
      <c r="F61" s="26" t="s">
        <v>89</v>
      </c>
      <c r="G61" s="44"/>
      <c r="H61" s="44"/>
      <c r="I61" s="45">
        <v>0.0</v>
      </c>
      <c r="J61" s="44"/>
      <c r="K61" s="44"/>
    </row>
    <row r="62">
      <c r="A62" s="26" t="s">
        <v>191</v>
      </c>
      <c r="B62" s="26">
        <v>1.0</v>
      </c>
      <c r="C62" s="26" t="s">
        <v>192</v>
      </c>
      <c r="D62" s="26" t="s">
        <v>193</v>
      </c>
      <c r="E62" s="26">
        <v>63.0</v>
      </c>
      <c r="F62" s="26" t="s">
        <v>107</v>
      </c>
      <c r="G62" s="44"/>
      <c r="H62" s="44"/>
      <c r="I62" s="45">
        <v>0.0</v>
      </c>
      <c r="J62" s="44"/>
      <c r="K62" s="44"/>
    </row>
    <row r="63">
      <c r="A63" s="26" t="s">
        <v>194</v>
      </c>
      <c r="B63" s="26">
        <v>1.0</v>
      </c>
      <c r="C63" s="26" t="s">
        <v>192</v>
      </c>
      <c r="D63" s="26" t="s">
        <v>195</v>
      </c>
      <c r="E63" s="26">
        <v>71.0</v>
      </c>
      <c r="F63" s="26" t="s">
        <v>107</v>
      </c>
      <c r="G63" s="44"/>
      <c r="H63" s="44"/>
      <c r="I63" s="45">
        <v>0.0</v>
      </c>
      <c r="J63" s="44"/>
      <c r="K63" s="44"/>
    </row>
    <row r="64">
      <c r="A64" s="26" t="s">
        <v>196</v>
      </c>
      <c r="B64" s="26">
        <v>1.0</v>
      </c>
      <c r="C64" s="26" t="s">
        <v>197</v>
      </c>
      <c r="D64" s="26" t="s">
        <v>198</v>
      </c>
      <c r="E64" s="26">
        <v>57.0</v>
      </c>
      <c r="F64" s="26" t="s">
        <v>107</v>
      </c>
      <c r="G64" s="44"/>
      <c r="H64" s="44"/>
      <c r="I64" s="45">
        <v>0.0</v>
      </c>
      <c r="J64" s="44"/>
      <c r="K64" s="44"/>
    </row>
    <row r="65">
      <c r="A65" s="26" t="s">
        <v>199</v>
      </c>
      <c r="B65" s="26">
        <v>1.0</v>
      </c>
      <c r="C65" s="26" t="s">
        <v>200</v>
      </c>
      <c r="D65" s="26" t="s">
        <v>201</v>
      </c>
      <c r="E65" s="26">
        <v>540.0</v>
      </c>
      <c r="F65" s="26" t="s">
        <v>107</v>
      </c>
      <c r="G65" s="44"/>
      <c r="H65" s="44"/>
      <c r="I65" s="45">
        <v>0.0</v>
      </c>
      <c r="J65" s="44"/>
      <c r="K65" s="44"/>
    </row>
    <row r="66">
      <c r="A66" s="26" t="s">
        <v>202</v>
      </c>
      <c r="B66" s="26">
        <v>1.0</v>
      </c>
      <c r="C66" s="26" t="s">
        <v>126</v>
      </c>
      <c r="D66" s="26" t="s">
        <v>201</v>
      </c>
      <c r="E66" s="26">
        <v>134.0</v>
      </c>
      <c r="F66" s="26" t="s">
        <v>107</v>
      </c>
      <c r="G66" s="44"/>
      <c r="H66" s="44"/>
      <c r="I66" s="45">
        <v>0.0</v>
      </c>
      <c r="J66" s="44"/>
      <c r="K66" s="44"/>
    </row>
    <row r="67">
      <c r="A67" s="26" t="s">
        <v>203</v>
      </c>
      <c r="B67" s="26">
        <v>1.0</v>
      </c>
      <c r="C67" s="26" t="s">
        <v>204</v>
      </c>
      <c r="D67" s="26" t="s">
        <v>201</v>
      </c>
      <c r="E67" s="26">
        <v>57.0</v>
      </c>
      <c r="F67" s="26" t="s">
        <v>107</v>
      </c>
      <c r="G67" s="44"/>
      <c r="H67" s="44"/>
      <c r="I67" s="45">
        <v>0.0</v>
      </c>
      <c r="J67" s="44"/>
      <c r="K67" s="44"/>
    </row>
    <row r="68">
      <c r="A68" s="44"/>
      <c r="B68" s="44"/>
      <c r="C68" s="44"/>
      <c r="D68" s="44"/>
      <c r="E68" s="44"/>
      <c r="F68" s="44"/>
      <c r="G68" s="44"/>
      <c r="H68" s="26" t="s">
        <v>119</v>
      </c>
      <c r="I68" s="45">
        <v>0.0</v>
      </c>
      <c r="J68" s="44"/>
      <c r="K68" s="44"/>
    </row>
    <row r="69">
      <c r="A69" s="42" t="s">
        <v>205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</row>
    <row r="70">
      <c r="A70" s="26" t="s">
        <v>206</v>
      </c>
      <c r="B70" s="26">
        <v>1.0</v>
      </c>
      <c r="C70" s="26" t="s">
        <v>207</v>
      </c>
      <c r="D70" s="26" t="s">
        <v>208</v>
      </c>
      <c r="E70" s="26">
        <v>58.0</v>
      </c>
      <c r="F70" s="26"/>
      <c r="G70" s="44"/>
      <c r="H70" s="44"/>
      <c r="I70" s="45">
        <v>0.0</v>
      </c>
      <c r="J70" s="44"/>
      <c r="K70" s="44"/>
    </row>
    <row r="71">
      <c r="A71" s="26" t="s">
        <v>209</v>
      </c>
      <c r="B71" s="26">
        <v>1.0</v>
      </c>
      <c r="C71" s="26" t="s">
        <v>210</v>
      </c>
      <c r="D71" s="26" t="s">
        <v>211</v>
      </c>
      <c r="E71" s="26">
        <v>136.0</v>
      </c>
      <c r="F71" s="26"/>
      <c r="G71" s="44"/>
      <c r="H71" s="44"/>
      <c r="I71" s="45">
        <v>0.0</v>
      </c>
      <c r="J71" s="44"/>
      <c r="K71" s="44"/>
    </row>
    <row r="72">
      <c r="A72" s="26" t="s">
        <v>212</v>
      </c>
      <c r="B72" s="26">
        <v>1.0</v>
      </c>
      <c r="C72" s="26" t="s">
        <v>210</v>
      </c>
      <c r="D72" s="26" t="s">
        <v>213</v>
      </c>
      <c r="E72" s="26">
        <v>135.0</v>
      </c>
      <c r="F72" s="26"/>
      <c r="G72" s="44"/>
      <c r="H72" s="44"/>
      <c r="I72" s="45">
        <v>0.0</v>
      </c>
      <c r="J72" s="44"/>
      <c r="K72" s="44"/>
    </row>
    <row r="73">
      <c r="A73" s="44"/>
      <c r="B73" s="44"/>
      <c r="C73" s="44"/>
      <c r="D73" s="44"/>
      <c r="E73" s="44"/>
      <c r="F73" s="44"/>
      <c r="G73" s="44"/>
      <c r="H73" s="26" t="s">
        <v>119</v>
      </c>
      <c r="I73" s="45">
        <v>0.0</v>
      </c>
      <c r="J73" s="44"/>
      <c r="K73" s="44"/>
    </row>
    <row r="74">
      <c r="A74" s="42" t="s">
        <v>214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</row>
    <row r="75">
      <c r="A75" s="26" t="s">
        <v>215</v>
      </c>
      <c r="B75" s="26">
        <v>1.0</v>
      </c>
      <c r="C75" s="26" t="s">
        <v>216</v>
      </c>
      <c r="D75" s="26" t="s">
        <v>217</v>
      </c>
      <c r="E75" s="26">
        <v>532.53</v>
      </c>
      <c r="F75" s="26" t="s">
        <v>89</v>
      </c>
      <c r="G75" s="44"/>
      <c r="H75" s="44"/>
      <c r="I75" s="45">
        <v>0.0</v>
      </c>
      <c r="J75" s="44"/>
      <c r="K75" s="44"/>
    </row>
    <row r="76">
      <c r="A76" s="26" t="s">
        <v>218</v>
      </c>
      <c r="B76" s="26">
        <v>1.0</v>
      </c>
      <c r="C76" s="26" t="s">
        <v>219</v>
      </c>
      <c r="D76" s="26" t="s">
        <v>220</v>
      </c>
      <c r="E76" s="26">
        <v>725.51</v>
      </c>
      <c r="F76" s="26" t="s">
        <v>89</v>
      </c>
      <c r="G76" s="44"/>
      <c r="H76" s="44"/>
      <c r="I76" s="45">
        <v>0.0</v>
      </c>
      <c r="J76" s="44"/>
      <c r="K76" s="44"/>
    </row>
    <row r="77">
      <c r="A77" s="26" t="s">
        <v>221</v>
      </c>
      <c r="B77" s="26">
        <v>1.0</v>
      </c>
      <c r="C77" s="26" t="s">
        <v>222</v>
      </c>
      <c r="D77" s="26" t="s">
        <v>223</v>
      </c>
      <c r="E77" s="26">
        <v>193.0</v>
      </c>
      <c r="F77" s="26"/>
      <c r="G77" s="44"/>
      <c r="H77" s="44"/>
      <c r="I77" s="45">
        <v>0.0</v>
      </c>
      <c r="J77" s="44"/>
      <c r="K77" s="44"/>
    </row>
    <row r="78">
      <c r="A78" s="44"/>
      <c r="B78" s="44"/>
      <c r="C78" s="44"/>
      <c r="D78" s="44"/>
      <c r="E78" s="44"/>
      <c r="F78" s="44"/>
      <c r="G78" s="44"/>
      <c r="H78" s="26" t="s">
        <v>119</v>
      </c>
      <c r="I78" s="45">
        <v>0.0</v>
      </c>
      <c r="J78" s="44"/>
      <c r="K78" s="44"/>
    </row>
    <row r="79">
      <c r="A79" s="42" t="s">
        <v>224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>
      <c r="A80" s="26" t="s">
        <v>225</v>
      </c>
      <c r="B80" s="26">
        <v>1.0</v>
      </c>
      <c r="C80" s="26" t="s">
        <v>187</v>
      </c>
      <c r="D80" s="26" t="s">
        <v>226</v>
      </c>
      <c r="E80" s="26">
        <v>44.0</v>
      </c>
      <c r="F80" s="26"/>
      <c r="G80" s="44"/>
      <c r="H80" s="44"/>
      <c r="I80" s="45">
        <v>0.0</v>
      </c>
      <c r="J80" s="44"/>
      <c r="K80" s="44"/>
    </row>
    <row r="81">
      <c r="A81" s="26" t="s">
        <v>227</v>
      </c>
      <c r="B81" s="26">
        <v>1.0</v>
      </c>
      <c r="C81" s="26" t="s">
        <v>228</v>
      </c>
      <c r="D81" s="26" t="s">
        <v>226</v>
      </c>
      <c r="E81" s="26">
        <v>24.0</v>
      </c>
      <c r="F81" s="26"/>
      <c r="G81" s="44"/>
      <c r="H81" s="44"/>
      <c r="I81" s="45">
        <v>0.0</v>
      </c>
      <c r="J81" s="44"/>
      <c r="K81" s="44"/>
    </row>
    <row r="82">
      <c r="A82" s="26" t="s">
        <v>229</v>
      </c>
      <c r="B82" s="26">
        <v>1.0</v>
      </c>
      <c r="C82" s="26" t="s">
        <v>230</v>
      </c>
      <c r="D82" s="26" t="s">
        <v>231</v>
      </c>
      <c r="E82" s="26">
        <v>945.0</v>
      </c>
      <c r="F82" s="26" t="s">
        <v>107</v>
      </c>
      <c r="G82" s="44"/>
      <c r="H82" s="44"/>
      <c r="I82" s="45">
        <v>0.0</v>
      </c>
      <c r="J82" s="44"/>
      <c r="K82" s="44"/>
    </row>
    <row r="83">
      <c r="A83" s="26" t="s">
        <v>232</v>
      </c>
      <c r="B83" s="26">
        <v>1.0</v>
      </c>
      <c r="C83" s="44"/>
      <c r="D83" s="26" t="s">
        <v>233</v>
      </c>
      <c r="E83" s="26">
        <v>328.77</v>
      </c>
      <c r="F83" s="26" t="s">
        <v>89</v>
      </c>
      <c r="G83" s="44"/>
      <c r="H83" s="44"/>
      <c r="I83" s="45">
        <v>0.0</v>
      </c>
      <c r="J83" s="44"/>
      <c r="K83" s="44"/>
    </row>
    <row r="84">
      <c r="A84" s="26" t="s">
        <v>234</v>
      </c>
      <c r="B84" s="26">
        <v>2.0</v>
      </c>
      <c r="C84" s="26" t="s">
        <v>187</v>
      </c>
      <c r="D84" s="26" t="s">
        <v>226</v>
      </c>
      <c r="E84" s="26">
        <v>5.0</v>
      </c>
      <c r="F84" s="26"/>
      <c r="G84" s="44"/>
      <c r="H84" s="44"/>
      <c r="I84" s="45">
        <v>0.0</v>
      </c>
      <c r="J84" s="44"/>
      <c r="K84" s="44"/>
    </row>
    <row r="85">
      <c r="A85" s="44"/>
      <c r="B85" s="44"/>
      <c r="C85" s="44"/>
      <c r="D85" s="44"/>
      <c r="E85" s="44"/>
      <c r="F85" s="44"/>
      <c r="G85" s="44"/>
      <c r="H85" s="26" t="s">
        <v>119</v>
      </c>
      <c r="I85" s="45">
        <v>0.0</v>
      </c>
      <c r="J85" s="44"/>
      <c r="K85" s="44"/>
    </row>
    <row r="86">
      <c r="A86" s="42" t="s">
        <v>29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</row>
    <row r="87">
      <c r="A87" s="26" t="s">
        <v>235</v>
      </c>
      <c r="B87" s="26">
        <v>1.0</v>
      </c>
      <c r="C87" s="26" t="s">
        <v>236</v>
      </c>
      <c r="D87" s="26" t="s">
        <v>237</v>
      </c>
      <c r="E87" s="26">
        <v>4.0</v>
      </c>
      <c r="F87" s="26"/>
      <c r="G87" s="44"/>
      <c r="H87" s="44"/>
      <c r="I87" s="45">
        <v>0.0</v>
      </c>
      <c r="J87" s="44"/>
      <c r="K87" s="26" t="s">
        <v>238</v>
      </c>
    </row>
    <row r="88">
      <c r="A88" s="26" t="s">
        <v>239</v>
      </c>
      <c r="B88" s="26">
        <v>1.0</v>
      </c>
      <c r="C88" s="26" t="s">
        <v>240</v>
      </c>
      <c r="D88" s="26" t="s">
        <v>237</v>
      </c>
      <c r="E88" s="26">
        <v>1.0</v>
      </c>
      <c r="F88" s="26"/>
      <c r="G88" s="44"/>
      <c r="H88" s="44"/>
      <c r="I88" s="45">
        <v>0.0</v>
      </c>
      <c r="J88" s="44"/>
      <c r="K88" s="26" t="s">
        <v>241</v>
      </c>
    </row>
    <row r="89">
      <c r="A89" s="26" t="s">
        <v>242</v>
      </c>
      <c r="B89" s="26">
        <v>1.0</v>
      </c>
      <c r="C89" s="26" t="s">
        <v>243</v>
      </c>
      <c r="D89" s="26" t="s">
        <v>237</v>
      </c>
      <c r="E89" s="26">
        <v>1.0</v>
      </c>
      <c r="F89" s="26"/>
      <c r="G89" s="44"/>
      <c r="H89" s="44"/>
      <c r="I89" s="45">
        <v>0.0</v>
      </c>
      <c r="J89" s="44"/>
      <c r="K89" s="26" t="s">
        <v>241</v>
      </c>
    </row>
    <row r="90">
      <c r="A90" s="44"/>
      <c r="B90" s="44"/>
      <c r="C90" s="44"/>
      <c r="D90" s="44"/>
      <c r="E90" s="44"/>
      <c r="F90" s="44"/>
      <c r="G90" s="44"/>
      <c r="H90" s="26" t="s">
        <v>119</v>
      </c>
      <c r="I90" s="45">
        <v>0.0</v>
      </c>
      <c r="J90" s="44"/>
      <c r="K90" s="44"/>
    </row>
    <row r="91">
      <c r="A91" s="42" t="s">
        <v>42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</row>
    <row r="92">
      <c r="A92" s="26" t="s">
        <v>244</v>
      </c>
      <c r="B92" s="26">
        <v>1.0</v>
      </c>
      <c r="C92" s="26" t="s">
        <v>245</v>
      </c>
      <c r="D92" s="26" t="s">
        <v>246</v>
      </c>
      <c r="E92" s="26">
        <v>2.0</v>
      </c>
      <c r="F92" s="26"/>
      <c r="G92" s="44"/>
      <c r="H92" s="44"/>
      <c r="I92" s="45">
        <v>0.0</v>
      </c>
      <c r="J92" s="44"/>
      <c r="K92" s="26" t="s">
        <v>247</v>
      </c>
    </row>
    <row r="93">
      <c r="A93" s="26" t="s">
        <v>248</v>
      </c>
      <c r="B93" s="26">
        <v>1.0</v>
      </c>
      <c r="C93" s="44"/>
      <c r="D93" s="26" t="s">
        <v>249</v>
      </c>
      <c r="E93" s="26">
        <v>2.0</v>
      </c>
      <c r="F93" s="26"/>
      <c r="G93" s="44"/>
      <c r="H93" s="44"/>
      <c r="I93" s="45">
        <v>0.0</v>
      </c>
      <c r="J93" s="44"/>
      <c r="K93" s="44"/>
    </row>
    <row r="94">
      <c r="A94" s="26" t="s">
        <v>250</v>
      </c>
      <c r="B94" s="26">
        <v>1.0</v>
      </c>
      <c r="C94" s="44"/>
      <c r="D94" s="26" t="s">
        <v>251</v>
      </c>
      <c r="E94" s="26">
        <v>3.0</v>
      </c>
      <c r="F94" s="26"/>
      <c r="G94" s="44"/>
      <c r="H94" s="44"/>
      <c r="I94" s="45">
        <v>0.0</v>
      </c>
      <c r="J94" s="44"/>
      <c r="K94" s="44"/>
    </row>
    <row r="95">
      <c r="A95" s="26" t="s">
        <v>252</v>
      </c>
      <c r="B95" s="26">
        <v>1.0</v>
      </c>
      <c r="C95" s="44"/>
      <c r="D95" s="26" t="s">
        <v>253</v>
      </c>
      <c r="E95" s="26">
        <v>7.0</v>
      </c>
      <c r="F95" s="26"/>
      <c r="G95" s="44"/>
      <c r="H95" s="44"/>
      <c r="I95" s="45">
        <v>0.0</v>
      </c>
      <c r="J95" s="44"/>
      <c r="K95" s="44"/>
    </row>
    <row r="96">
      <c r="A96" s="26" t="s">
        <v>254</v>
      </c>
      <c r="B96" s="26">
        <v>1.0</v>
      </c>
      <c r="C96" s="26" t="s">
        <v>255</v>
      </c>
      <c r="D96" s="26" t="s">
        <v>256</v>
      </c>
      <c r="E96" s="26">
        <v>2.0</v>
      </c>
      <c r="F96" s="26"/>
      <c r="G96" s="44"/>
      <c r="H96" s="44"/>
      <c r="I96" s="45">
        <v>0.0</v>
      </c>
      <c r="J96" s="44"/>
      <c r="K96" s="26" t="s">
        <v>257</v>
      </c>
    </row>
    <row r="97">
      <c r="A97" s="26" t="s">
        <v>258</v>
      </c>
      <c r="B97" s="26">
        <v>1.0</v>
      </c>
      <c r="C97" s="44"/>
      <c r="D97" s="26" t="s">
        <v>259</v>
      </c>
      <c r="E97" s="26">
        <v>2.0</v>
      </c>
      <c r="F97" s="26"/>
      <c r="G97" s="44"/>
      <c r="H97" s="44"/>
      <c r="I97" s="45">
        <v>0.0</v>
      </c>
      <c r="J97" s="44"/>
      <c r="K97" s="44"/>
    </row>
    <row r="98">
      <c r="A98" s="26" t="s">
        <v>260</v>
      </c>
      <c r="B98" s="26">
        <v>1.0</v>
      </c>
      <c r="C98" s="44"/>
      <c r="D98" s="26" t="s">
        <v>261</v>
      </c>
      <c r="E98" s="26">
        <v>4.0</v>
      </c>
      <c r="F98" s="26"/>
      <c r="G98" s="44"/>
      <c r="H98" s="44"/>
      <c r="I98" s="45">
        <v>0.0</v>
      </c>
      <c r="J98" s="44"/>
      <c r="K98" s="44"/>
    </row>
    <row r="99">
      <c r="A99" s="26" t="s">
        <v>262</v>
      </c>
      <c r="B99" s="26">
        <v>1.0</v>
      </c>
      <c r="C99" s="26" t="s">
        <v>245</v>
      </c>
      <c r="D99" s="26" t="s">
        <v>263</v>
      </c>
      <c r="E99" s="26">
        <v>1.0</v>
      </c>
      <c r="F99" s="26"/>
      <c r="G99" s="44"/>
      <c r="H99" s="44"/>
      <c r="I99" s="45">
        <v>0.0</v>
      </c>
      <c r="J99" s="44"/>
      <c r="K99" s="26" t="s">
        <v>247</v>
      </c>
    </row>
    <row r="100">
      <c r="A100" s="26" t="s">
        <v>264</v>
      </c>
      <c r="B100" s="26">
        <v>1.0</v>
      </c>
      <c r="C100" s="44"/>
      <c r="D100" s="26" t="s">
        <v>265</v>
      </c>
      <c r="E100" s="26">
        <v>1.0</v>
      </c>
      <c r="F100" s="26"/>
      <c r="G100" s="44"/>
      <c r="H100" s="44"/>
      <c r="I100" s="45">
        <v>0.0</v>
      </c>
      <c r="J100" s="44"/>
      <c r="K100" s="44"/>
    </row>
    <row r="101">
      <c r="A101" s="44"/>
      <c r="B101" s="44"/>
      <c r="C101" s="44"/>
      <c r="D101" s="44"/>
      <c r="E101" s="44"/>
      <c r="F101" s="44"/>
      <c r="G101" s="44"/>
      <c r="H101" s="26" t="s">
        <v>119</v>
      </c>
      <c r="I101" s="45">
        <v>0.0</v>
      </c>
      <c r="J101" s="44"/>
      <c r="K101" s="44"/>
    </row>
    <row r="102">
      <c r="A102" s="42" t="s">
        <v>266</v>
      </c>
      <c r="B102" s="43"/>
      <c r="C102" s="43"/>
      <c r="D102" s="43"/>
      <c r="E102" s="43"/>
      <c r="F102" s="43"/>
      <c r="G102" s="43"/>
      <c r="H102" s="43"/>
      <c r="I102" s="43"/>
      <c r="J102" s="43"/>
      <c r="K102" s="43"/>
    </row>
    <row r="103">
      <c r="A103" s="26" t="s">
        <v>267</v>
      </c>
      <c r="B103" s="26">
        <v>1.0</v>
      </c>
      <c r="C103" s="26" t="s">
        <v>268</v>
      </c>
      <c r="D103" s="26" t="s">
        <v>269</v>
      </c>
      <c r="E103" s="26">
        <v>1.0</v>
      </c>
      <c r="F103" s="26"/>
      <c r="G103" s="44"/>
      <c r="H103" s="44"/>
      <c r="I103" s="45">
        <v>0.0</v>
      </c>
      <c r="J103" s="44"/>
      <c r="K103" s="26" t="s">
        <v>270</v>
      </c>
    </row>
    <row r="104">
      <c r="A104" s="26" t="s">
        <v>271</v>
      </c>
      <c r="B104" s="26">
        <v>1.0</v>
      </c>
      <c r="C104" s="44"/>
      <c r="D104" s="26" t="s">
        <v>272</v>
      </c>
      <c r="E104" s="26">
        <v>1.0</v>
      </c>
      <c r="F104" s="26"/>
      <c r="G104" s="44"/>
      <c r="H104" s="44"/>
      <c r="I104" s="45">
        <v>0.0</v>
      </c>
      <c r="J104" s="44"/>
      <c r="K104" s="44"/>
    </row>
    <row r="105">
      <c r="A105" s="26" t="s">
        <v>273</v>
      </c>
      <c r="B105" s="26">
        <v>1.0</v>
      </c>
      <c r="C105" s="26" t="s">
        <v>274</v>
      </c>
      <c r="D105" s="26" t="s">
        <v>275</v>
      </c>
      <c r="E105" s="26">
        <v>1.0</v>
      </c>
      <c r="F105" s="26"/>
      <c r="G105" s="44"/>
      <c r="H105" s="44"/>
      <c r="I105" s="45">
        <v>0.0</v>
      </c>
      <c r="J105" s="44"/>
      <c r="K105" s="44"/>
    </row>
    <row r="106">
      <c r="A106" s="26" t="s">
        <v>276</v>
      </c>
      <c r="B106" s="26">
        <v>1.0</v>
      </c>
      <c r="C106" s="26" t="s">
        <v>277</v>
      </c>
      <c r="D106" s="26" t="s">
        <v>278</v>
      </c>
      <c r="E106" s="26">
        <v>1.0</v>
      </c>
      <c r="F106" s="26"/>
      <c r="G106" s="44"/>
      <c r="H106" s="44"/>
      <c r="I106" s="45">
        <v>0.0</v>
      </c>
      <c r="J106" s="44"/>
      <c r="K106" s="44"/>
    </row>
    <row r="107">
      <c r="A107" s="26" t="s">
        <v>279</v>
      </c>
      <c r="B107" s="26">
        <v>1.0</v>
      </c>
      <c r="C107" s="26" t="s">
        <v>280</v>
      </c>
      <c r="D107" s="26" t="s">
        <v>275</v>
      </c>
      <c r="E107" s="26">
        <v>1.0</v>
      </c>
      <c r="F107" s="26"/>
      <c r="G107" s="44"/>
      <c r="H107" s="44"/>
      <c r="I107" s="45">
        <v>0.0</v>
      </c>
      <c r="J107" s="44"/>
      <c r="K107" s="44"/>
    </row>
    <row r="108">
      <c r="A108" s="26" t="s">
        <v>281</v>
      </c>
      <c r="B108" s="26">
        <v>1.0</v>
      </c>
      <c r="C108" s="26" t="s">
        <v>282</v>
      </c>
      <c r="D108" s="26" t="s">
        <v>278</v>
      </c>
      <c r="E108" s="26">
        <v>1.0</v>
      </c>
      <c r="F108" s="26"/>
      <c r="G108" s="44"/>
      <c r="H108" s="44"/>
      <c r="I108" s="45">
        <v>0.0</v>
      </c>
      <c r="J108" s="44"/>
      <c r="K108" s="44"/>
    </row>
    <row r="109">
      <c r="A109" s="26" t="s">
        <v>283</v>
      </c>
      <c r="B109" s="26">
        <v>1.0</v>
      </c>
      <c r="C109" s="44"/>
      <c r="D109" s="26" t="s">
        <v>284</v>
      </c>
      <c r="E109" s="26">
        <v>2.0</v>
      </c>
      <c r="F109" s="26"/>
      <c r="G109" s="44"/>
      <c r="H109" s="44"/>
      <c r="I109" s="45">
        <v>0.0</v>
      </c>
      <c r="J109" s="44"/>
      <c r="K109" s="44"/>
    </row>
    <row r="110">
      <c r="A110" s="26" t="s">
        <v>285</v>
      </c>
      <c r="B110" s="26">
        <v>1.0</v>
      </c>
      <c r="C110" s="26" t="s">
        <v>286</v>
      </c>
      <c r="D110" s="26" t="s">
        <v>287</v>
      </c>
      <c r="E110" s="26">
        <v>3.0</v>
      </c>
      <c r="F110" s="26"/>
      <c r="G110" s="44"/>
      <c r="H110" s="44"/>
      <c r="I110" s="45">
        <v>0.0</v>
      </c>
      <c r="J110" s="44"/>
      <c r="K110" s="44"/>
    </row>
    <row r="111">
      <c r="A111" s="26" t="s">
        <v>288</v>
      </c>
      <c r="B111" s="26">
        <v>1.0</v>
      </c>
      <c r="C111" s="44"/>
      <c r="D111" s="26" t="s">
        <v>289</v>
      </c>
      <c r="E111" s="26">
        <v>2.0</v>
      </c>
      <c r="F111" s="26"/>
      <c r="G111" s="44"/>
      <c r="H111" s="44"/>
      <c r="I111" s="45">
        <v>0.0</v>
      </c>
      <c r="J111" s="44"/>
      <c r="K111" s="44"/>
    </row>
    <row r="112">
      <c r="A112" s="26" t="s">
        <v>290</v>
      </c>
      <c r="B112" s="26">
        <v>1.0</v>
      </c>
      <c r="C112" s="44"/>
      <c r="D112" s="26" t="s">
        <v>291</v>
      </c>
      <c r="E112" s="26">
        <v>24.25</v>
      </c>
      <c r="F112" s="26" t="s">
        <v>89</v>
      </c>
      <c r="G112" s="44"/>
      <c r="H112" s="44"/>
      <c r="I112" s="45">
        <v>0.0</v>
      </c>
      <c r="J112" s="44"/>
      <c r="K112" s="44"/>
    </row>
    <row r="113">
      <c r="A113" s="26" t="s">
        <v>292</v>
      </c>
      <c r="B113" s="26">
        <v>1.0</v>
      </c>
      <c r="C113" s="44"/>
      <c r="D113" s="26" t="s">
        <v>293</v>
      </c>
      <c r="E113" s="26">
        <v>22.0</v>
      </c>
      <c r="F113" s="26" t="s">
        <v>107</v>
      </c>
      <c r="G113" s="44"/>
      <c r="H113" s="44"/>
      <c r="I113" s="45">
        <v>0.0</v>
      </c>
      <c r="J113" s="44"/>
      <c r="K113" s="44"/>
    </row>
    <row r="114">
      <c r="A114" s="26" t="s">
        <v>294</v>
      </c>
      <c r="B114" s="26">
        <v>1.0</v>
      </c>
      <c r="C114" s="44"/>
      <c r="D114" s="26" t="s">
        <v>295</v>
      </c>
      <c r="E114" s="26">
        <v>7.0</v>
      </c>
      <c r="F114" s="26" t="s">
        <v>107</v>
      </c>
      <c r="G114" s="44"/>
      <c r="H114" s="44"/>
      <c r="I114" s="45">
        <v>0.0</v>
      </c>
      <c r="J114" s="44"/>
      <c r="K114" s="44"/>
    </row>
    <row r="115">
      <c r="A115" s="26" t="s">
        <v>296</v>
      </c>
      <c r="B115" s="26">
        <v>1.0</v>
      </c>
      <c r="C115" s="26" t="s">
        <v>297</v>
      </c>
      <c r="D115" s="26" t="s">
        <v>298</v>
      </c>
      <c r="E115" s="26">
        <v>1.0</v>
      </c>
      <c r="F115" s="26"/>
      <c r="G115" s="44"/>
      <c r="H115" s="44"/>
      <c r="I115" s="45">
        <v>0.0</v>
      </c>
      <c r="J115" s="44"/>
      <c r="K115" s="26" t="s">
        <v>299</v>
      </c>
    </row>
    <row r="116">
      <c r="A116" s="26" t="s">
        <v>300</v>
      </c>
      <c r="B116" s="26">
        <v>1.0</v>
      </c>
      <c r="C116" s="44"/>
      <c r="D116" s="26" t="s">
        <v>272</v>
      </c>
      <c r="E116" s="26">
        <v>1.0</v>
      </c>
      <c r="F116" s="26"/>
      <c r="G116" s="44"/>
      <c r="H116" s="44"/>
      <c r="I116" s="45">
        <v>0.0</v>
      </c>
      <c r="J116" s="44"/>
      <c r="K116" s="44"/>
    </row>
    <row r="117">
      <c r="A117" s="26" t="s">
        <v>301</v>
      </c>
      <c r="B117" s="26">
        <v>1.0</v>
      </c>
      <c r="C117" s="26" t="s">
        <v>302</v>
      </c>
      <c r="D117" s="26" t="s">
        <v>275</v>
      </c>
      <c r="E117" s="26">
        <v>2.0</v>
      </c>
      <c r="F117" s="26"/>
      <c r="G117" s="44"/>
      <c r="H117" s="44"/>
      <c r="I117" s="45">
        <v>0.0</v>
      </c>
      <c r="J117" s="44"/>
      <c r="K117" s="44"/>
    </row>
    <row r="118">
      <c r="A118" s="26" t="s">
        <v>303</v>
      </c>
      <c r="B118" s="26">
        <v>1.0</v>
      </c>
      <c r="C118" s="26" t="s">
        <v>304</v>
      </c>
      <c r="D118" s="26" t="s">
        <v>278</v>
      </c>
      <c r="E118" s="26">
        <v>1.0</v>
      </c>
      <c r="F118" s="26"/>
      <c r="G118" s="44"/>
      <c r="H118" s="44"/>
      <c r="I118" s="45">
        <v>0.0</v>
      </c>
      <c r="J118" s="44"/>
      <c r="K118" s="44"/>
    </row>
    <row r="119">
      <c r="A119" s="26" t="s">
        <v>305</v>
      </c>
      <c r="B119" s="26">
        <v>1.0</v>
      </c>
      <c r="C119" s="26" t="s">
        <v>286</v>
      </c>
      <c r="D119" s="26" t="s">
        <v>287</v>
      </c>
      <c r="E119" s="26">
        <v>3.0</v>
      </c>
      <c r="F119" s="26"/>
      <c r="G119" s="44"/>
      <c r="H119" s="44"/>
      <c r="I119" s="45">
        <v>0.0</v>
      </c>
      <c r="J119" s="44"/>
      <c r="K119" s="44"/>
    </row>
    <row r="120">
      <c r="A120" s="26" t="s">
        <v>306</v>
      </c>
      <c r="B120" s="26">
        <v>1.0</v>
      </c>
      <c r="C120" s="44"/>
      <c r="D120" s="26" t="s">
        <v>284</v>
      </c>
      <c r="E120" s="26">
        <v>4.0</v>
      </c>
      <c r="F120" s="26"/>
      <c r="G120" s="44"/>
      <c r="H120" s="44"/>
      <c r="I120" s="45">
        <v>0.0</v>
      </c>
      <c r="J120" s="44"/>
      <c r="K120" s="44"/>
    </row>
    <row r="121">
      <c r="A121" s="26" t="s">
        <v>307</v>
      </c>
      <c r="B121" s="26">
        <v>1.0</v>
      </c>
      <c r="C121" s="26" t="s">
        <v>308</v>
      </c>
      <c r="D121" s="26" t="s">
        <v>309</v>
      </c>
      <c r="E121" s="26">
        <v>1.0</v>
      </c>
      <c r="F121" s="26"/>
      <c r="G121" s="44"/>
      <c r="H121" s="44"/>
      <c r="I121" s="45">
        <v>0.0</v>
      </c>
      <c r="J121" s="44"/>
      <c r="K121" s="26" t="s">
        <v>310</v>
      </c>
    </row>
    <row r="122">
      <c r="A122" s="26" t="s">
        <v>311</v>
      </c>
      <c r="B122" s="26">
        <v>1.0</v>
      </c>
      <c r="C122" s="44"/>
      <c r="D122" s="26" t="s">
        <v>272</v>
      </c>
      <c r="E122" s="26">
        <v>1.0</v>
      </c>
      <c r="F122" s="26"/>
      <c r="G122" s="44"/>
      <c r="H122" s="44"/>
      <c r="I122" s="45">
        <v>0.0</v>
      </c>
      <c r="J122" s="44"/>
      <c r="K122" s="44"/>
    </row>
    <row r="123">
      <c r="A123" s="26" t="s">
        <v>312</v>
      </c>
      <c r="B123" s="26">
        <v>1.0</v>
      </c>
      <c r="C123" s="26" t="s">
        <v>313</v>
      </c>
      <c r="D123" s="26" t="s">
        <v>314</v>
      </c>
      <c r="E123" s="26">
        <v>2.0</v>
      </c>
      <c r="F123" s="26"/>
      <c r="G123" s="44"/>
      <c r="H123" s="44"/>
      <c r="I123" s="45">
        <v>0.0</v>
      </c>
      <c r="J123" s="44"/>
      <c r="K123" s="44"/>
    </row>
    <row r="124">
      <c r="A124" s="26" t="s">
        <v>315</v>
      </c>
      <c r="B124" s="26">
        <v>1.0</v>
      </c>
      <c r="C124" s="26" t="s">
        <v>316</v>
      </c>
      <c r="D124" s="26" t="s">
        <v>314</v>
      </c>
      <c r="E124" s="26">
        <v>2.0</v>
      </c>
      <c r="F124" s="26"/>
      <c r="G124" s="44"/>
      <c r="H124" s="44"/>
      <c r="I124" s="45">
        <v>0.0</v>
      </c>
      <c r="J124" s="44"/>
      <c r="K124" s="44"/>
    </row>
    <row r="125">
      <c r="A125" s="26" t="s">
        <v>317</v>
      </c>
      <c r="B125" s="26">
        <v>1.0</v>
      </c>
      <c r="C125" s="44"/>
      <c r="D125" s="26" t="s">
        <v>318</v>
      </c>
      <c r="E125" s="26">
        <v>12.0</v>
      </c>
      <c r="F125" s="26"/>
      <c r="G125" s="44"/>
      <c r="H125" s="44"/>
      <c r="I125" s="45">
        <v>0.0</v>
      </c>
      <c r="J125" s="44"/>
      <c r="K125" s="44"/>
    </row>
    <row r="126">
      <c r="A126" s="26" t="s">
        <v>319</v>
      </c>
      <c r="B126" s="26">
        <v>1.0</v>
      </c>
      <c r="C126" s="26" t="s">
        <v>320</v>
      </c>
      <c r="D126" s="26" t="s">
        <v>321</v>
      </c>
      <c r="E126" s="26">
        <v>1.0</v>
      </c>
      <c r="F126" s="26"/>
      <c r="G126" s="44"/>
      <c r="H126" s="44"/>
      <c r="I126" s="45">
        <v>0.0</v>
      </c>
      <c r="J126" s="44"/>
      <c r="K126" s="44"/>
    </row>
    <row r="127">
      <c r="A127" s="26" t="s">
        <v>322</v>
      </c>
      <c r="B127" s="26">
        <v>1.0</v>
      </c>
      <c r="C127" s="26" t="s">
        <v>323</v>
      </c>
      <c r="D127" s="26" t="s">
        <v>324</v>
      </c>
      <c r="E127" s="26">
        <v>2.0</v>
      </c>
      <c r="F127" s="26"/>
      <c r="G127" s="44"/>
      <c r="H127" s="44"/>
      <c r="I127" s="45">
        <v>0.0</v>
      </c>
      <c r="J127" s="44"/>
      <c r="K127" s="26" t="s">
        <v>325</v>
      </c>
    </row>
    <row r="128">
      <c r="A128" s="26" t="s">
        <v>326</v>
      </c>
      <c r="B128" s="26">
        <v>1.0</v>
      </c>
      <c r="C128" s="44"/>
      <c r="D128" s="26" t="s">
        <v>272</v>
      </c>
      <c r="E128" s="26">
        <v>2.0</v>
      </c>
      <c r="F128" s="26"/>
      <c r="G128" s="44"/>
      <c r="H128" s="44"/>
      <c r="I128" s="45">
        <v>0.0</v>
      </c>
      <c r="J128" s="44"/>
      <c r="K128" s="44"/>
    </row>
    <row r="129">
      <c r="A129" s="26" t="s">
        <v>327</v>
      </c>
      <c r="B129" s="26">
        <v>1.0</v>
      </c>
      <c r="C129" s="26" t="s">
        <v>328</v>
      </c>
      <c r="D129" s="26" t="s">
        <v>275</v>
      </c>
      <c r="E129" s="26">
        <v>2.0</v>
      </c>
      <c r="F129" s="26"/>
      <c r="G129" s="44"/>
      <c r="H129" s="44"/>
      <c r="I129" s="45">
        <v>0.0</v>
      </c>
      <c r="J129" s="44"/>
      <c r="K129" s="44"/>
    </row>
    <row r="130">
      <c r="A130" s="26" t="s">
        <v>329</v>
      </c>
      <c r="B130" s="26">
        <v>1.0</v>
      </c>
      <c r="C130" s="26" t="s">
        <v>286</v>
      </c>
      <c r="D130" s="26" t="s">
        <v>287</v>
      </c>
      <c r="E130" s="26">
        <v>2.0</v>
      </c>
      <c r="F130" s="26"/>
      <c r="G130" s="44"/>
      <c r="H130" s="44"/>
      <c r="I130" s="45">
        <v>0.0</v>
      </c>
      <c r="J130" s="44"/>
      <c r="K130" s="44"/>
    </row>
    <row r="131">
      <c r="A131" s="26" t="s">
        <v>330</v>
      </c>
      <c r="B131" s="26">
        <v>1.0</v>
      </c>
      <c r="C131" s="44"/>
      <c r="D131" s="26" t="s">
        <v>284</v>
      </c>
      <c r="E131" s="26">
        <v>4.0</v>
      </c>
      <c r="F131" s="26"/>
      <c r="G131" s="44"/>
      <c r="H131" s="44"/>
      <c r="I131" s="45">
        <v>0.0</v>
      </c>
      <c r="J131" s="44"/>
      <c r="K131" s="44"/>
    </row>
    <row r="132">
      <c r="A132" s="26" t="s">
        <v>331</v>
      </c>
      <c r="B132" s="26">
        <v>1.0</v>
      </c>
      <c r="C132" s="26" t="s">
        <v>332</v>
      </c>
      <c r="D132" s="26" t="s">
        <v>321</v>
      </c>
      <c r="E132" s="26">
        <v>1.0</v>
      </c>
      <c r="F132" s="26"/>
      <c r="G132" s="44"/>
      <c r="H132" s="44"/>
      <c r="I132" s="45">
        <v>0.0</v>
      </c>
      <c r="J132" s="44"/>
      <c r="K132" s="44"/>
    </row>
    <row r="133">
      <c r="A133" s="26" t="s">
        <v>333</v>
      </c>
      <c r="B133" s="26">
        <v>1.0</v>
      </c>
      <c r="C133" s="26" t="s">
        <v>334</v>
      </c>
      <c r="D133" s="26" t="s">
        <v>335</v>
      </c>
      <c r="E133" s="26">
        <v>1.0</v>
      </c>
      <c r="F133" s="26"/>
      <c r="G133" s="44"/>
      <c r="H133" s="44"/>
      <c r="I133" s="45">
        <v>0.0</v>
      </c>
      <c r="J133" s="44"/>
      <c r="K133" s="26" t="s">
        <v>336</v>
      </c>
    </row>
    <row r="134">
      <c r="A134" s="26" t="s">
        <v>337</v>
      </c>
      <c r="B134" s="26">
        <v>1.0</v>
      </c>
      <c r="C134" s="44"/>
      <c r="D134" s="26" t="s">
        <v>272</v>
      </c>
      <c r="E134" s="26">
        <v>1.0</v>
      </c>
      <c r="F134" s="26"/>
      <c r="G134" s="44"/>
      <c r="H134" s="44"/>
      <c r="I134" s="45">
        <v>0.0</v>
      </c>
      <c r="J134" s="44"/>
      <c r="K134" s="44"/>
    </row>
    <row r="135">
      <c r="A135" s="26" t="s">
        <v>338</v>
      </c>
      <c r="B135" s="26">
        <v>1.0</v>
      </c>
      <c r="C135" s="26" t="s">
        <v>339</v>
      </c>
      <c r="D135" s="26" t="s">
        <v>275</v>
      </c>
      <c r="E135" s="26">
        <v>1.0</v>
      </c>
      <c r="F135" s="26"/>
      <c r="G135" s="44"/>
      <c r="H135" s="44"/>
      <c r="I135" s="45">
        <v>0.0</v>
      </c>
      <c r="J135" s="44"/>
      <c r="K135" s="44"/>
    </row>
    <row r="136">
      <c r="A136" s="26" t="s">
        <v>340</v>
      </c>
      <c r="B136" s="26">
        <v>1.0</v>
      </c>
      <c r="C136" s="26" t="s">
        <v>286</v>
      </c>
      <c r="D136" s="26" t="s">
        <v>287</v>
      </c>
      <c r="E136" s="26">
        <v>1.0</v>
      </c>
      <c r="F136" s="26"/>
      <c r="G136" s="44"/>
      <c r="H136" s="44"/>
      <c r="I136" s="45">
        <v>0.0</v>
      </c>
      <c r="J136" s="44"/>
      <c r="K136" s="44"/>
    </row>
    <row r="137">
      <c r="A137" s="26" t="s">
        <v>341</v>
      </c>
      <c r="B137" s="26">
        <v>1.0</v>
      </c>
      <c r="C137" s="44"/>
      <c r="D137" s="26" t="s">
        <v>284</v>
      </c>
      <c r="E137" s="26">
        <v>2.0</v>
      </c>
      <c r="F137" s="26"/>
      <c r="G137" s="44"/>
      <c r="H137" s="44"/>
      <c r="I137" s="45">
        <v>0.0</v>
      </c>
      <c r="J137" s="44"/>
      <c r="K137" s="44"/>
    </row>
    <row r="138">
      <c r="A138" s="44"/>
      <c r="B138" s="44"/>
      <c r="C138" s="44"/>
      <c r="D138" s="44"/>
      <c r="E138" s="44"/>
      <c r="F138" s="44"/>
      <c r="G138" s="44"/>
      <c r="H138" s="26" t="s">
        <v>119</v>
      </c>
      <c r="I138" s="45">
        <v>0.0</v>
      </c>
      <c r="J138" s="44"/>
      <c r="K138" s="44"/>
    </row>
    <row r="139">
      <c r="A139" s="42" t="s">
        <v>342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</row>
    <row r="140">
      <c r="A140" s="26" t="s">
        <v>343</v>
      </c>
      <c r="B140" s="26">
        <v>1.0</v>
      </c>
      <c r="C140" s="26" t="s">
        <v>344</v>
      </c>
      <c r="D140" s="26" t="s">
        <v>345</v>
      </c>
      <c r="E140" s="26">
        <v>22.0</v>
      </c>
      <c r="F140" s="26" t="s">
        <v>107</v>
      </c>
      <c r="G140" s="44"/>
      <c r="H140" s="44"/>
      <c r="I140" s="45">
        <v>0.0</v>
      </c>
      <c r="J140" s="44"/>
      <c r="K140" s="44"/>
    </row>
    <row r="141">
      <c r="A141" s="26" t="s">
        <v>346</v>
      </c>
      <c r="B141" s="26">
        <v>1.0</v>
      </c>
      <c r="C141" s="26" t="s">
        <v>166</v>
      </c>
      <c r="D141" s="26" t="s">
        <v>347</v>
      </c>
      <c r="E141" s="26">
        <v>22.0</v>
      </c>
      <c r="F141" s="26" t="s">
        <v>107</v>
      </c>
      <c r="G141" s="44"/>
      <c r="H141" s="44"/>
      <c r="I141" s="45">
        <v>0.0</v>
      </c>
      <c r="J141" s="44"/>
      <c r="K141" s="44"/>
    </row>
    <row r="142">
      <c r="A142" s="26" t="s">
        <v>348</v>
      </c>
      <c r="B142" s="26">
        <v>1.0</v>
      </c>
      <c r="C142" s="26" t="s">
        <v>344</v>
      </c>
      <c r="D142" s="26" t="s">
        <v>349</v>
      </c>
      <c r="E142" s="26">
        <v>241.0</v>
      </c>
      <c r="F142" s="26" t="s">
        <v>107</v>
      </c>
      <c r="G142" s="44"/>
      <c r="H142" s="44"/>
      <c r="I142" s="45">
        <v>0.0</v>
      </c>
      <c r="J142" s="44"/>
      <c r="K142" s="44"/>
    </row>
    <row r="143">
      <c r="A143" s="26" t="s">
        <v>350</v>
      </c>
      <c r="B143" s="26">
        <v>1.0</v>
      </c>
      <c r="C143" s="26" t="s">
        <v>176</v>
      </c>
      <c r="D143" s="26" t="s">
        <v>351</v>
      </c>
      <c r="E143" s="26">
        <v>17.0</v>
      </c>
      <c r="F143" s="26" t="s">
        <v>107</v>
      </c>
      <c r="G143" s="44"/>
      <c r="H143" s="44"/>
      <c r="I143" s="45">
        <v>0.0</v>
      </c>
      <c r="J143" s="44"/>
      <c r="K143" s="44"/>
    </row>
    <row r="144">
      <c r="A144" s="26" t="s">
        <v>352</v>
      </c>
      <c r="B144" s="26">
        <v>1.0</v>
      </c>
      <c r="C144" s="26" t="s">
        <v>353</v>
      </c>
      <c r="D144" s="26" t="s">
        <v>351</v>
      </c>
      <c r="E144" s="26">
        <v>49.0</v>
      </c>
      <c r="F144" s="26" t="s">
        <v>107</v>
      </c>
      <c r="G144" s="44"/>
      <c r="H144" s="44"/>
      <c r="I144" s="45">
        <v>0.0</v>
      </c>
      <c r="J144" s="44"/>
      <c r="K144" s="44"/>
    </row>
    <row r="145">
      <c r="A145" s="26" t="s">
        <v>354</v>
      </c>
      <c r="B145" s="26">
        <v>1.0</v>
      </c>
      <c r="C145" s="26" t="s">
        <v>344</v>
      </c>
      <c r="D145" s="26" t="s">
        <v>355</v>
      </c>
      <c r="E145" s="26">
        <v>8.0</v>
      </c>
      <c r="F145" s="26" t="s">
        <v>107</v>
      </c>
      <c r="G145" s="44"/>
      <c r="H145" s="44"/>
      <c r="I145" s="45">
        <v>0.0</v>
      </c>
      <c r="J145" s="44"/>
      <c r="K145" s="44"/>
    </row>
    <row r="146">
      <c r="A146" s="26" t="s">
        <v>356</v>
      </c>
      <c r="B146" s="26">
        <v>1.0</v>
      </c>
      <c r="C146" s="26" t="s">
        <v>163</v>
      </c>
      <c r="D146" s="26" t="s">
        <v>357</v>
      </c>
      <c r="E146" s="26">
        <v>150.0</v>
      </c>
      <c r="F146" s="26" t="s">
        <v>107</v>
      </c>
      <c r="G146" s="44"/>
      <c r="H146" s="44"/>
      <c r="I146" s="45">
        <v>0.0</v>
      </c>
      <c r="J146" s="44"/>
      <c r="K146" s="44"/>
    </row>
    <row r="147">
      <c r="A147" s="44"/>
      <c r="B147" s="44"/>
      <c r="C147" s="44"/>
      <c r="D147" s="44"/>
      <c r="E147" s="44"/>
      <c r="F147" s="44"/>
      <c r="G147" s="44"/>
      <c r="H147" s="26" t="s">
        <v>119</v>
      </c>
      <c r="I147" s="45">
        <v>0.0</v>
      </c>
      <c r="J147" s="44"/>
      <c r="K147" s="44"/>
    </row>
    <row r="148">
      <c r="A148" s="42" t="s">
        <v>358</v>
      </c>
      <c r="B148" s="43"/>
      <c r="C148" s="43"/>
      <c r="D148" s="43"/>
      <c r="E148" s="43"/>
      <c r="F148" s="43"/>
      <c r="G148" s="43"/>
      <c r="H148" s="43"/>
      <c r="I148" s="43"/>
      <c r="J148" s="43"/>
      <c r="K148" s="43"/>
    </row>
    <row r="149">
      <c r="A149" s="26" t="s">
        <v>359</v>
      </c>
      <c r="B149" s="26">
        <v>1.0</v>
      </c>
      <c r="C149" s="26" t="s">
        <v>360</v>
      </c>
      <c r="D149" s="26" t="s">
        <v>361</v>
      </c>
      <c r="E149" s="26">
        <v>1.0</v>
      </c>
      <c r="F149" s="26"/>
      <c r="G149" s="44"/>
      <c r="H149" s="44"/>
      <c r="I149" s="45">
        <v>0.0</v>
      </c>
      <c r="J149" s="44"/>
      <c r="K149" s="26" t="s">
        <v>299</v>
      </c>
    </row>
    <row r="150">
      <c r="A150" s="26" t="s">
        <v>362</v>
      </c>
      <c r="B150" s="26">
        <v>1.0</v>
      </c>
      <c r="C150" s="26" t="s">
        <v>363</v>
      </c>
      <c r="D150" s="26" t="s">
        <v>364</v>
      </c>
      <c r="E150" s="26">
        <v>1.0</v>
      </c>
      <c r="F150" s="26"/>
      <c r="G150" s="44"/>
      <c r="H150" s="44"/>
      <c r="I150" s="45">
        <v>0.0</v>
      </c>
      <c r="J150" s="44"/>
      <c r="K150" s="26" t="s">
        <v>364</v>
      </c>
    </row>
    <row r="151">
      <c r="A151" s="26" t="s">
        <v>365</v>
      </c>
      <c r="B151" s="26">
        <v>1.0</v>
      </c>
      <c r="C151" s="26" t="s">
        <v>366</v>
      </c>
      <c r="D151" s="26" t="s">
        <v>367</v>
      </c>
      <c r="E151" s="26">
        <v>1.0</v>
      </c>
      <c r="F151" s="26"/>
      <c r="G151" s="44"/>
      <c r="H151" s="44"/>
      <c r="I151" s="45">
        <v>0.0</v>
      </c>
      <c r="J151" s="44"/>
      <c r="K151" s="26" t="s">
        <v>367</v>
      </c>
    </row>
    <row r="152">
      <c r="A152" s="26" t="s">
        <v>368</v>
      </c>
      <c r="B152" s="26">
        <v>1.0</v>
      </c>
      <c r="C152" s="26" t="s">
        <v>369</v>
      </c>
      <c r="D152" s="26" t="s">
        <v>370</v>
      </c>
      <c r="E152" s="26">
        <v>1.0</v>
      </c>
      <c r="F152" s="26"/>
      <c r="G152" s="44"/>
      <c r="H152" s="44"/>
      <c r="I152" s="45">
        <v>0.0</v>
      </c>
      <c r="J152" s="44"/>
      <c r="K152" s="26" t="s">
        <v>371</v>
      </c>
    </row>
    <row r="153">
      <c r="A153" s="44"/>
      <c r="B153" s="44"/>
      <c r="C153" s="44"/>
      <c r="D153" s="44"/>
      <c r="E153" s="44"/>
      <c r="F153" s="44"/>
      <c r="G153" s="44"/>
      <c r="H153" s="26" t="s">
        <v>119</v>
      </c>
      <c r="I153" s="45">
        <v>0.0</v>
      </c>
      <c r="J153" s="44"/>
      <c r="K153" s="44"/>
    </row>
    <row r="154">
      <c r="A154" s="42" t="s">
        <v>372</v>
      </c>
      <c r="B154" s="43"/>
      <c r="C154" s="43"/>
      <c r="D154" s="43"/>
      <c r="E154" s="43"/>
      <c r="F154" s="43"/>
      <c r="G154" s="43"/>
      <c r="H154" s="43"/>
      <c r="I154" s="43"/>
      <c r="J154" s="43"/>
      <c r="K154" s="43"/>
    </row>
    <row r="155">
      <c r="A155" s="26" t="s">
        <v>373</v>
      </c>
      <c r="B155" s="26">
        <v>1.0</v>
      </c>
      <c r="C155" s="26" t="s">
        <v>374</v>
      </c>
      <c r="D155" s="26" t="s">
        <v>375</v>
      </c>
      <c r="E155" s="26">
        <v>1.0</v>
      </c>
      <c r="F155" s="26"/>
      <c r="G155" s="44"/>
      <c r="H155" s="44"/>
      <c r="I155" s="45">
        <v>0.0</v>
      </c>
      <c r="J155" s="44"/>
      <c r="K155" s="26" t="s">
        <v>375</v>
      </c>
    </row>
    <row r="156">
      <c r="A156" s="26" t="s">
        <v>376</v>
      </c>
      <c r="B156" s="26">
        <v>1.0</v>
      </c>
      <c r="C156" s="26" t="s">
        <v>377</v>
      </c>
      <c r="D156" s="26" t="s">
        <v>378</v>
      </c>
      <c r="E156" s="26">
        <v>1.0</v>
      </c>
      <c r="F156" s="26"/>
      <c r="G156" s="44"/>
      <c r="H156" s="44"/>
      <c r="I156" s="45">
        <v>0.0</v>
      </c>
      <c r="J156" s="44"/>
      <c r="K156" s="26" t="s">
        <v>378</v>
      </c>
    </row>
    <row r="157">
      <c r="A157" s="26" t="s">
        <v>379</v>
      </c>
      <c r="B157" s="26">
        <v>1.0</v>
      </c>
      <c r="C157" s="26" t="s">
        <v>377</v>
      </c>
      <c r="D157" s="26" t="s">
        <v>380</v>
      </c>
      <c r="E157" s="26">
        <v>1.0</v>
      </c>
      <c r="F157" s="26"/>
      <c r="G157" s="44"/>
      <c r="H157" s="44"/>
      <c r="I157" s="45">
        <v>0.0</v>
      </c>
      <c r="J157" s="44"/>
      <c r="K157" s="26" t="s">
        <v>380</v>
      </c>
    </row>
    <row r="158">
      <c r="A158" s="26" t="s">
        <v>381</v>
      </c>
      <c r="B158" s="26">
        <v>1.0</v>
      </c>
      <c r="C158" s="26" t="s">
        <v>382</v>
      </c>
      <c r="D158" s="26" t="s">
        <v>383</v>
      </c>
      <c r="E158" s="26">
        <v>1.0</v>
      </c>
      <c r="F158" s="26"/>
      <c r="G158" s="44"/>
      <c r="H158" s="44"/>
      <c r="I158" s="45">
        <v>0.0</v>
      </c>
      <c r="J158" s="44"/>
      <c r="K158" s="26" t="s">
        <v>384</v>
      </c>
    </row>
    <row r="159">
      <c r="A159" s="26" t="s">
        <v>385</v>
      </c>
      <c r="B159" s="26">
        <v>1.0</v>
      </c>
      <c r="C159" s="26" t="s">
        <v>386</v>
      </c>
      <c r="D159" s="26" t="s">
        <v>387</v>
      </c>
      <c r="E159" s="26">
        <v>1.0</v>
      </c>
      <c r="F159" s="26"/>
      <c r="G159" s="44"/>
      <c r="H159" s="44"/>
      <c r="I159" s="45">
        <v>0.0</v>
      </c>
      <c r="J159" s="44"/>
      <c r="K159" s="26" t="s">
        <v>387</v>
      </c>
    </row>
    <row r="160">
      <c r="A160" s="26" t="s">
        <v>388</v>
      </c>
      <c r="B160" s="26">
        <v>1.0</v>
      </c>
      <c r="C160" s="26" t="s">
        <v>389</v>
      </c>
      <c r="D160" s="26" t="s">
        <v>390</v>
      </c>
      <c r="E160" s="26">
        <v>1.0</v>
      </c>
      <c r="F160" s="26"/>
      <c r="G160" s="44"/>
      <c r="H160" s="44"/>
      <c r="I160" s="45">
        <v>0.0</v>
      </c>
      <c r="J160" s="44"/>
      <c r="K160" s="26" t="s">
        <v>390</v>
      </c>
    </row>
    <row r="161">
      <c r="A161" s="44"/>
      <c r="B161" s="44"/>
      <c r="C161" s="44"/>
      <c r="D161" s="44"/>
      <c r="E161" s="44"/>
      <c r="F161" s="44"/>
      <c r="G161" s="44"/>
      <c r="H161" s="26" t="s">
        <v>119</v>
      </c>
      <c r="I161" s="45">
        <v>0.0</v>
      </c>
      <c r="J161" s="44"/>
      <c r="K161" s="44"/>
    </row>
    <row r="162">
      <c r="A162" s="42" t="s">
        <v>391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</row>
    <row r="163">
      <c r="A163" s="26" t="s">
        <v>392</v>
      </c>
      <c r="B163" s="26">
        <v>1.0</v>
      </c>
      <c r="C163" s="26" t="s">
        <v>393</v>
      </c>
      <c r="D163" s="26" t="s">
        <v>394</v>
      </c>
      <c r="E163" s="26">
        <v>2.0</v>
      </c>
      <c r="F163" s="26"/>
      <c r="G163" s="44"/>
      <c r="H163" s="44"/>
      <c r="I163" s="45">
        <v>0.0</v>
      </c>
      <c r="J163" s="44"/>
      <c r="K163" s="44"/>
    </row>
    <row r="164">
      <c r="A164" s="26" t="s">
        <v>395</v>
      </c>
      <c r="B164" s="26">
        <v>1.0</v>
      </c>
      <c r="C164" s="26" t="s">
        <v>393</v>
      </c>
      <c r="D164" s="26" t="s">
        <v>396</v>
      </c>
      <c r="E164" s="26">
        <v>2.0</v>
      </c>
      <c r="F164" s="26"/>
      <c r="G164" s="44"/>
      <c r="H164" s="44"/>
      <c r="I164" s="45">
        <v>0.0</v>
      </c>
      <c r="J164" s="44"/>
      <c r="K164" s="44"/>
    </row>
    <row r="165">
      <c r="A165" s="26" t="s">
        <v>397</v>
      </c>
      <c r="B165" s="26">
        <v>1.0</v>
      </c>
      <c r="C165" s="26" t="s">
        <v>398</v>
      </c>
      <c r="D165" s="26" t="s">
        <v>399</v>
      </c>
      <c r="E165" s="26">
        <v>40.0</v>
      </c>
      <c r="F165" s="26" t="s">
        <v>107</v>
      </c>
      <c r="G165" s="44"/>
      <c r="H165" s="44"/>
      <c r="I165" s="45">
        <v>0.0</v>
      </c>
      <c r="J165" s="44"/>
      <c r="K165" s="44"/>
    </row>
    <row r="166">
      <c r="A166" s="26" t="s">
        <v>400</v>
      </c>
      <c r="B166" s="26">
        <v>1.0</v>
      </c>
      <c r="C166" s="26" t="s">
        <v>401</v>
      </c>
      <c r="D166" s="26" t="s">
        <v>402</v>
      </c>
      <c r="E166" s="26">
        <v>2.0</v>
      </c>
      <c r="F166" s="26"/>
      <c r="G166" s="44"/>
      <c r="H166" s="44"/>
      <c r="I166" s="45">
        <v>0.0</v>
      </c>
      <c r="J166" s="44"/>
      <c r="K166" s="44"/>
    </row>
    <row r="167">
      <c r="A167" s="44"/>
      <c r="B167" s="44"/>
      <c r="C167" s="44"/>
      <c r="D167" s="44"/>
      <c r="E167" s="44"/>
      <c r="F167" s="44"/>
      <c r="G167" s="44"/>
      <c r="H167" s="26" t="s">
        <v>119</v>
      </c>
      <c r="I167" s="45">
        <v>0.0</v>
      </c>
      <c r="J167" s="44"/>
      <c r="K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</row>
    <row r="169">
      <c r="A169" s="46"/>
      <c r="B169" s="46"/>
      <c r="C169" s="46"/>
      <c r="D169" s="46"/>
      <c r="E169" s="46"/>
      <c r="F169" s="46"/>
      <c r="G169" s="46"/>
      <c r="H169" s="47" t="s">
        <v>403</v>
      </c>
      <c r="I169" s="48">
        <v>0.0</v>
      </c>
      <c r="J169" s="46"/>
      <c r="K169" s="46"/>
    </row>
  </sheetData>
  <drawing r:id="rId1"/>
</worksheet>
</file>