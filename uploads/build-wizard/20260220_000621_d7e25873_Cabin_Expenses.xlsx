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n3tm4n-my.sharepoint.com/personal/jon_netman_us/Documents/Documents/Home/91 Singletree Ln/"/>
    </mc:Choice>
  </mc:AlternateContent>
  <xr:revisionPtr revIDLastSave="69" documentId="11_FDCC9FAC2242ABB194B50C2376184C6EA3B52056" xr6:coauthVersionLast="47" xr6:coauthVersionMax="47" xr10:uidLastSave="{7BD7A557-6FB8-4CB8-B3E3-C17A021E13EE}"/>
  <bookViews>
    <workbookView xWindow="28680" yWindow="-120" windowWidth="29040" windowHeight="15720" xr2:uid="{00000000-000D-0000-FFFF-FFFF00000000}"/>
  </bookViews>
  <sheets>
    <sheet name="Current Plan" sheetId="3" r:id="rId1"/>
    <sheet name="Future &gt;2025" sheetId="1" r:id="rId2"/>
    <sheet name="Past &lt;1107202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47" i="3"/>
  <c r="C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3" i="3"/>
  <c r="E12" i="3"/>
  <c r="E11" i="3"/>
  <c r="E10" i="3"/>
  <c r="E9" i="3"/>
  <c r="E8" i="3"/>
  <c r="E7" i="3"/>
  <c r="E6" i="3"/>
  <c r="E5" i="3"/>
  <c r="E4" i="3"/>
  <c r="E3" i="3"/>
  <c r="E2" i="3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E1" i="2"/>
  <c r="D6" i="1"/>
  <c r="D5" i="1"/>
  <c r="D4" i="1"/>
  <c r="D3" i="1"/>
  <c r="D2" i="1"/>
  <c r="D8" i="1"/>
  <c r="F46" i="3" l="1"/>
  <c r="F40" i="3"/>
  <c r="F43" i="3"/>
  <c r="F17" i="3"/>
  <c r="F29" i="3"/>
  <c r="E6" i="1"/>
  <c r="E1" i="1" l="1"/>
  <c r="E48" i="3"/>
  <c r="E47" i="3"/>
</calcChain>
</file>

<file path=xl/sharedStrings.xml><?xml version="1.0" encoding="utf-8"?>
<sst xmlns="http://schemas.openxmlformats.org/spreadsheetml/2006/main" count="100" uniqueCount="93">
  <si>
    <t>Item</t>
  </si>
  <si>
    <t>Price</t>
  </si>
  <si>
    <t>Qty</t>
  </si>
  <si>
    <t>Total</t>
  </si>
  <si>
    <t>Meter Base</t>
  </si>
  <si>
    <t>Power line</t>
  </si>
  <si>
    <t>Electrical (finish)</t>
  </si>
  <si>
    <t>Porch light</t>
  </si>
  <si>
    <t>Electrical Panel - Breakers</t>
  </si>
  <si>
    <t>Electrical switches</t>
  </si>
  <si>
    <t>Electrical receptacles</t>
  </si>
  <si>
    <t>Electrical covers</t>
  </si>
  <si>
    <t>Blinds - electrical</t>
  </si>
  <si>
    <t>Air Conditioner / Heater</t>
  </si>
  <si>
    <t>Insulation</t>
  </si>
  <si>
    <t>Sheetrock</t>
  </si>
  <si>
    <t>Bathroom tile / Glass shower</t>
  </si>
  <si>
    <t>Flooring</t>
  </si>
  <si>
    <t>Canned Lights</t>
  </si>
  <si>
    <t>Bathroom fixtures</t>
  </si>
  <si>
    <t>Bathroom vanity cabinet</t>
  </si>
  <si>
    <t>Bathroom sink</t>
  </si>
  <si>
    <t>Toilet</t>
  </si>
  <si>
    <t>Shower heads</t>
  </si>
  <si>
    <t>Shower handle</t>
  </si>
  <si>
    <t>Bathroom heater</t>
  </si>
  <si>
    <t>Bathroom vanity light</t>
  </si>
  <si>
    <t>Bathroom mirror</t>
  </si>
  <si>
    <t>Kitchen cabinets</t>
  </si>
  <si>
    <t>Dishwasher</t>
  </si>
  <si>
    <t>Stove</t>
  </si>
  <si>
    <t>Refrigerator</t>
  </si>
  <si>
    <t>Kitchen sink</t>
  </si>
  <si>
    <t>Kitchen sink fixtures</t>
  </si>
  <si>
    <t>Garbage disposal</t>
  </si>
  <si>
    <t>Trash compactor</t>
  </si>
  <si>
    <t>Kitchen pendant lights</t>
  </si>
  <si>
    <t>Dining light</t>
  </si>
  <si>
    <t>Dining table</t>
  </si>
  <si>
    <t>Television mount</t>
  </si>
  <si>
    <t>Bedroom ceiling fan</t>
  </si>
  <si>
    <t>Murphy bed</t>
  </si>
  <si>
    <t>Sconce lights for each side of bed</t>
  </si>
  <si>
    <t>Attic ladder</t>
  </si>
  <si>
    <t>Closet organizer</t>
  </si>
  <si>
    <t>Closet shelves</t>
  </si>
  <si>
    <t>Wall for jacuzzi</t>
  </si>
  <si>
    <t>Driveway</t>
  </si>
  <si>
    <t>Concrete around house</t>
  </si>
  <si>
    <t>Concrete for parking and jacuzzi</t>
  </si>
  <si>
    <t>Jacuzzi solar roof</t>
  </si>
  <si>
    <t xml:space="preserve">Well </t>
  </si>
  <si>
    <t>Amicalola Electric</t>
  </si>
  <si>
    <t>Bulilding permit</t>
  </si>
  <si>
    <t>Water line</t>
  </si>
  <si>
    <t>Dirt</t>
  </si>
  <si>
    <t>Slab</t>
  </si>
  <si>
    <t>Septic tank</t>
  </si>
  <si>
    <t>Leveling</t>
  </si>
  <si>
    <t>Walkway</t>
  </si>
  <si>
    <t>Steel framed walls</t>
  </si>
  <si>
    <t>Steel framed roof</t>
  </si>
  <si>
    <t>Outersheath foam</t>
  </si>
  <si>
    <t>Outersheath plywood</t>
  </si>
  <si>
    <t>Windows</t>
  </si>
  <si>
    <t>Shower drain</t>
  </si>
  <si>
    <t>Hot water heater</t>
  </si>
  <si>
    <t>Shower controls</t>
  </si>
  <si>
    <t>Shower vent</t>
  </si>
  <si>
    <t>Siding</t>
  </si>
  <si>
    <t>Metal roof</t>
  </si>
  <si>
    <t>Siding &amp; Roofing labor</t>
  </si>
  <si>
    <t>Electrical wire</t>
  </si>
  <si>
    <t>Electrical panel</t>
  </si>
  <si>
    <t>Electrical misc (work boxes, etc)</t>
  </si>
  <si>
    <t>Plumbing</t>
  </si>
  <si>
    <t>Plywood for attic</t>
  </si>
  <si>
    <t>Porch</t>
  </si>
  <si>
    <t>Porch roof</t>
  </si>
  <si>
    <t>Environment Control Unit</t>
  </si>
  <si>
    <t>Humidifier</t>
  </si>
  <si>
    <t>Grand Total:</t>
  </si>
  <si>
    <t>Details</t>
  </si>
  <si>
    <t>https://a.co/d/e8MM2WU</t>
  </si>
  <si>
    <t>Call AEMC and get pricing after meter base is installed &amp; electrical inspected</t>
  </si>
  <si>
    <t>https://a.co/d/eFoRJ4a</t>
  </si>
  <si>
    <t>Outdoor corner lights and cameras</t>
  </si>
  <si>
    <t>Outdoor sconce lights</t>
  </si>
  <si>
    <t>https://www.homedepot.com/p/KICHLER-Seaside-1-Light-Olde-Bronze-Outdoor-Hardwired-Barn-Sconce-with-No-Bulbs-Included-1-Pack-9022OZ/312764068</t>
  </si>
  <si>
    <t>https://www.amazon.com/Wellmet-Farmhouse-Chandelier-Dining-Sputnik/dp/B08RS7L3N1/ref=sr_1_37?crid=8T897CH4I6YT&amp;dib=eyJ2IjoiMSJ9.D2tztzQi8vGclPgT0yPlj0ho_yLQ2pcViCNYybM-07AMV53j2iNSOgi8JZmcoZ-i6hYFbnyDBs7JZSMS0uIksFf22200tiZaNjouQ3uCxZpPGt3luLoiTITJ8kuDCehQMIfLNqqI5bw__rrzc243V6VLjTILPIMfOH53rMHB89x0jS2XCqJeWAd0xF168XLtcJmHJsvUfa6xG8uM9nPaf3BMdaxXFNIRQI9l7Z25y6y6yNCw9hCE9jexoMzWVjT890KIUbM4RaaMa2F9F2alQFHPf3ryXUBT8Mb2FcbIJvw.ow2cKt_EsOVMJFysBDFmkj22XL0ZwYBLAB9QGokX0i8&amp;dib_tag=se&amp;keywords=outdoor%2Bchandelier%2Bfor%2Bporch&amp;qid=1710378923&amp;sprefix=outdoor%2Bchandelier%2Caps%2C119&amp;sr=8-37&amp;th=1</t>
  </si>
  <si>
    <t>Overages</t>
  </si>
  <si>
    <t>Add 20%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</si>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</sst>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6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2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/>
    <xf numFmtId="164" fontId="2" fillId="0" borderId="1" xfId="0" applyNumberFormat="1" applyFont="1" applyBorder="1"/>
    <xf numFmtId="164" fontId="1" fillId="0" borderId="1" xfId="0" applyNumberFormat="1" applyFont="1" applyBorder="1"/>
    <xf numFmtId="0" fontId="2" fillId="0" borderId="2" xfId="0" applyFont="1" applyBorder="1"/>
    <xf numFmtId="0" fontId="0" fillId="0" borderId="2" xfId="0" applyBorder="1"/>
    <xf numFmtId="0" fontId="1" fillId="0" borderId="3" xfId="0" applyFont="1" applyBorder="1"/>
    <xf numFmtId="164" fontId="1" fillId="0" borderId="2" xfId="0" applyNumberFormat="1" applyFont="1" applyBorder="1"/>
    <xf numFmtId="0" fontId="1" fillId="0" borderId="2" xfId="0" applyFont="1" applyBorder="1"/>
    <xf numFmtId="0" fontId="2" fillId="0" borderId="4" xfId="0" applyFont="1" applyBorder="1"/>
    <xf numFmtId="164" fontId="2" fillId="0" borderId="0" xfId="0" applyNumberFormat="1" applyFont="1" applyBorder="1"/>
    <xf numFmtId="0" fontId="2" fillId="0" borderId="0" xfId="0" applyFont="1" applyBorder="1"/>
    <xf numFmtId="164" fontId="1" fillId="0" borderId="0" xfId="0" applyNumberFormat="1" applyFont="1" applyBorder="1"/>
    <xf numFmtId="0" fontId="2" fillId="0" borderId="5" xfId="0" applyFont="1" applyBorder="1"/>
    <xf numFmtId="0" fontId="4" fillId="0" borderId="0" xfId="0" applyFont="1"/>
    <xf numFmtId="0" fontId="3" fillId="0" borderId="6" xfId="0" applyFont="1" applyBorder="1" applyAlignment="1">
      <alignment horizontal="right" indent="1"/>
    </xf>
    <xf numFmtId="0" fontId="3" fillId="0" borderId="7" xfId="0" applyFont="1" applyBorder="1" applyAlignment="1">
      <alignment horizontal="right" indent="1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0" borderId="2" xfId="0" applyFont="1" applyBorder="1"/>
    <xf numFmtId="0" fontId="6" fillId="0" borderId="0" xfId="1" applyBorder="1"/>
    <xf numFmtId="0" fontId="7" fillId="0" borderId="0" xfId="0" applyFont="1" applyBorder="1"/>
    <xf numFmtId="0" fontId="2" fillId="0" borderId="3" xfId="0" applyFont="1" applyBorder="1"/>
    <xf numFmtId="9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/>
    <xf numFmtId="164" fontId="1" fillId="0" borderId="10" xfId="0" applyNumberFormat="1" applyFont="1" applyBorder="1"/>
    <xf numFmtId="164" fontId="1" fillId="0" borderId="11" xfId="0" applyNumberFormat="1" applyFont="1" applyBorder="1"/>
    <xf numFmtId="0" fontId="0" fillId="0" borderId="11" xfId="0" applyBorder="1"/>
    <xf numFmtId="164" fontId="1" fillId="0" borderId="12" xfId="0" applyNumberFormat="1" applyFont="1" applyBorder="1"/>
    <xf numFmtId="164" fontId="1" fillId="0" borderId="9" xfId="0" applyNumberFormat="1" applyFont="1" applyBorder="1"/>
    <xf numFmtId="164" fontId="1" fillId="0" borderId="2" xfId="0" applyNumberFormat="1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omedepot.com/p/KICHLER-Seaside-1-Light-Olde-Bronze-Outdoor-Hardwired-Barn-Sconce-with-No-Bulbs-Included-1-Pack-9022OZ/312764068" TargetMode="External"/><Relationship Id="rId2" Type="http://schemas.openxmlformats.org/officeDocument/2006/relationships/hyperlink" Target="https://a.co/d/eFoRJ4a" TargetMode="External"/><Relationship Id="rId1" Type="http://schemas.openxmlformats.org/officeDocument/2006/relationships/hyperlink" Target="https://a.co/d/e8MM2W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m/Wellmet-Farmhouse-Chandelier-Dining-Sputnik/dp/B08RS7L3N1/ref=sr_1_37?crid=8T897CH4I6YT&amp;dib=eyJ2IjoiMSJ9.D2tztzQi8vGclPgT0yPlj0ho_yLQ2pcViCNYybM-07AMV53j2iNSOgi8JZmcoZ-i6hYFbnyDBs7JZSMS0uIksFf22200tiZaNjouQ3uCxZpPGt3luLoiTITJ8kuDCehQMIfLNqqI5bw__rrzc243V6VLjTILPIMfOH53rMHB89x0jS2XCqJeWAd0xF168XLtcJmHJsvUfa6xG8uM9nPaf3BMdaxXFNIRQI9l7Z25y6y6yNCw9hCE9jexoMzWVjT890KIUbM4RaaMa2F9F2alQFHPf3ryXUBT8Mb2FcbIJvw.ow2cKt_EsOVMJFysBDFmkj22XL0ZwYBLAB9QGokX0i8&amp;dib_tag=se&amp;keywords=outdoor%2Bchandelier%2Bfor%2Bporch&amp;qid=1710378923&amp;sprefix=outdoor%2Bchandelier%2Caps%2C119&amp;sr=8-3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A279-9E2F-42AD-80DF-8EBA53BBEF7B}">
  <sheetPr>
    <outlinePr summaryBelow="0" summaryRight="0"/>
  </sheetPr>
  <dimension ref="A1:F48"/>
  <sheetViews>
    <sheetView tabSelected="1" workbookViewId="0">
      <pane ySplit="1" topLeftCell="A20" activePane="bottomLeft" state="frozen"/>
      <selection pane="bottomLeft" activeCell="A47" sqref="A47"/>
    </sheetView>
  </sheetViews>
  <sheetFormatPr defaultColWidth="12.5703125" defaultRowHeight="15.75" customHeight="1" x14ac:dyDescent="0.2"/>
  <cols>
    <col min="1" max="1" width="35.7109375" bestFit="1" customWidth="1"/>
    <col min="2" max="2" width="63.5703125" customWidth="1"/>
    <col min="4" max="4" width="5.28515625" customWidth="1"/>
  </cols>
  <sheetData>
    <row r="1" spans="1:6" ht="15.75" customHeight="1" x14ac:dyDescent="0.25">
      <c r="A1" s="10" t="s">
        <v>0</v>
      </c>
      <c r="B1" s="23" t="s">
        <v>82</v>
      </c>
      <c r="C1" s="11" t="s">
        <v>1</v>
      </c>
      <c r="D1" s="12" t="s">
        <v>2</v>
      </c>
      <c r="E1" s="34" t="s">
        <v>92</v>
      </c>
      <c r="F1" s="29">
        <f>SUM(F2:F47)</f>
        <v>56171.495999999999</v>
      </c>
    </row>
    <row r="2" spans="1:6" ht="15.75" customHeight="1" x14ac:dyDescent="0.25">
      <c r="A2" s="13" t="s">
        <v>4</v>
      </c>
      <c r="B2" s="24" t="s">
        <v>83</v>
      </c>
      <c r="C2" s="14">
        <v>354.22</v>
      </c>
      <c r="D2" s="15">
        <v>1</v>
      </c>
      <c r="E2" s="16">
        <f t="shared" ref="E2:E47" si="0">C2*D2</f>
        <v>354.22</v>
      </c>
      <c r="F2" s="30"/>
    </row>
    <row r="3" spans="1:6" ht="15.75" customHeight="1" x14ac:dyDescent="0.25">
      <c r="A3" s="13" t="s">
        <v>5</v>
      </c>
      <c r="B3" s="25" t="s">
        <v>84</v>
      </c>
      <c r="C3" s="14">
        <v>3000</v>
      </c>
      <c r="D3" s="15">
        <v>1</v>
      </c>
      <c r="E3" s="16">
        <f t="shared" si="0"/>
        <v>3000</v>
      </c>
      <c r="F3" s="30"/>
    </row>
    <row r="4" spans="1:6" ht="15.75" customHeight="1" x14ac:dyDescent="0.25">
      <c r="A4" s="13" t="s">
        <v>6</v>
      </c>
      <c r="B4" s="15"/>
      <c r="C4" s="14">
        <v>200</v>
      </c>
      <c r="D4" s="15">
        <v>1</v>
      </c>
      <c r="E4" s="16">
        <f t="shared" si="0"/>
        <v>200</v>
      </c>
      <c r="F4" s="30"/>
    </row>
    <row r="5" spans="1:6" ht="15.75" customHeight="1" x14ac:dyDescent="0.25">
      <c r="A5" s="13" t="s">
        <v>86</v>
      </c>
      <c r="B5" s="24" t="s">
        <v>85</v>
      </c>
      <c r="C5" s="14">
        <v>87.35</v>
      </c>
      <c r="D5" s="15">
        <v>4</v>
      </c>
      <c r="E5" s="16">
        <f t="shared" si="0"/>
        <v>349.4</v>
      </c>
      <c r="F5" s="30"/>
    </row>
    <row r="6" spans="1:6" ht="15.75" customHeight="1" x14ac:dyDescent="0.25">
      <c r="A6" s="13" t="s">
        <v>7</v>
      </c>
      <c r="B6" s="24" t="s">
        <v>89</v>
      </c>
      <c r="C6" s="14">
        <v>179.99</v>
      </c>
      <c r="D6" s="15">
        <v>1</v>
      </c>
      <c r="E6" s="16">
        <f t="shared" si="0"/>
        <v>179.99</v>
      </c>
      <c r="F6" s="30"/>
    </row>
    <row r="7" spans="1:6" ht="15.75" customHeight="1" x14ac:dyDescent="0.25">
      <c r="A7" s="13" t="s">
        <v>87</v>
      </c>
      <c r="B7" s="24" t="s">
        <v>88</v>
      </c>
      <c r="C7" s="14">
        <v>91.99</v>
      </c>
      <c r="D7" s="15">
        <v>3</v>
      </c>
      <c r="E7" s="16">
        <f t="shared" si="0"/>
        <v>275.96999999999997</v>
      </c>
      <c r="F7" s="30"/>
    </row>
    <row r="8" spans="1:6" ht="15.75" customHeight="1" x14ac:dyDescent="0.25">
      <c r="A8" s="13" t="s">
        <v>8</v>
      </c>
      <c r="B8" s="15"/>
      <c r="C8" s="14">
        <v>800</v>
      </c>
      <c r="D8" s="15">
        <v>1</v>
      </c>
      <c r="E8" s="16">
        <f t="shared" si="0"/>
        <v>800</v>
      </c>
      <c r="F8" s="30"/>
    </row>
    <row r="9" spans="1:6" ht="15.75" customHeight="1" x14ac:dyDescent="0.25">
      <c r="A9" s="13" t="s">
        <v>9</v>
      </c>
      <c r="B9" s="15"/>
      <c r="C9" s="14">
        <v>80</v>
      </c>
      <c r="D9" s="15">
        <v>5</v>
      </c>
      <c r="E9" s="16">
        <f t="shared" si="0"/>
        <v>400</v>
      </c>
      <c r="F9" s="30"/>
    </row>
    <row r="10" spans="1:6" ht="15.75" customHeight="1" x14ac:dyDescent="0.25">
      <c r="A10" s="13" t="s">
        <v>10</v>
      </c>
      <c r="B10" s="15"/>
      <c r="C10" s="14">
        <v>30</v>
      </c>
      <c r="D10" s="15">
        <v>30</v>
      </c>
      <c r="E10" s="16">
        <f t="shared" si="0"/>
        <v>900</v>
      </c>
      <c r="F10" s="30"/>
    </row>
    <row r="11" spans="1:6" ht="15.75" customHeight="1" x14ac:dyDescent="0.25">
      <c r="A11" s="13" t="s">
        <v>11</v>
      </c>
      <c r="B11" s="15"/>
      <c r="C11" s="14">
        <v>2</v>
      </c>
      <c r="D11" s="15">
        <v>35</v>
      </c>
      <c r="E11" s="16">
        <f t="shared" si="0"/>
        <v>70</v>
      </c>
      <c r="F11" s="30"/>
    </row>
    <row r="12" spans="1:6" ht="15.75" customHeight="1" x14ac:dyDescent="0.25">
      <c r="A12" s="13" t="s">
        <v>12</v>
      </c>
      <c r="B12" s="15"/>
      <c r="C12" s="14">
        <v>250</v>
      </c>
      <c r="D12" s="15">
        <v>5</v>
      </c>
      <c r="E12" s="16">
        <f t="shared" si="0"/>
        <v>1250</v>
      </c>
      <c r="F12" s="30"/>
    </row>
    <row r="13" spans="1:6" ht="15.75" customHeight="1" x14ac:dyDescent="0.25">
      <c r="A13" s="13" t="s">
        <v>13</v>
      </c>
      <c r="B13" s="15"/>
      <c r="C13" s="14">
        <v>5000</v>
      </c>
      <c r="D13" s="15">
        <v>1</v>
      </c>
      <c r="E13" s="16">
        <f t="shared" si="0"/>
        <v>5000</v>
      </c>
      <c r="F13" s="30"/>
    </row>
    <row r="14" spans="1:6" ht="15.75" customHeight="1" x14ac:dyDescent="0.25">
      <c r="A14" s="13" t="s">
        <v>79</v>
      </c>
      <c r="B14" s="15"/>
      <c r="C14" s="14"/>
      <c r="D14" s="15">
        <v>1</v>
      </c>
      <c r="E14" s="16"/>
      <c r="F14" s="30"/>
    </row>
    <row r="15" spans="1:6" ht="15.75" customHeight="1" x14ac:dyDescent="0.25">
      <c r="A15" s="13" t="s">
        <v>80</v>
      </c>
      <c r="B15" s="15"/>
      <c r="C15" s="14"/>
      <c r="D15" s="15">
        <v>1</v>
      </c>
      <c r="E15" s="16"/>
      <c r="F15" s="30"/>
    </row>
    <row r="16" spans="1:6" ht="15.75" customHeight="1" x14ac:dyDescent="0.25">
      <c r="A16" s="13" t="s">
        <v>14</v>
      </c>
      <c r="B16" s="15"/>
      <c r="C16" s="14">
        <v>3000</v>
      </c>
      <c r="D16" s="15">
        <v>1</v>
      </c>
      <c r="E16" s="16">
        <f t="shared" si="0"/>
        <v>3000</v>
      </c>
      <c r="F16" s="31"/>
    </row>
    <row r="17" spans="1:6" ht="15.75" customHeight="1" x14ac:dyDescent="0.25">
      <c r="A17" s="13" t="s">
        <v>15</v>
      </c>
      <c r="B17" s="15"/>
      <c r="C17" s="14">
        <v>5000</v>
      </c>
      <c r="D17" s="15">
        <v>1</v>
      </c>
      <c r="E17" s="16">
        <f t="shared" si="0"/>
        <v>5000</v>
      </c>
      <c r="F17" s="30">
        <f>SUM(E2:E17)</f>
        <v>20779.580000000002</v>
      </c>
    </row>
    <row r="18" spans="1:6" ht="15.75" customHeight="1" x14ac:dyDescent="0.25">
      <c r="A18" s="17" t="s">
        <v>16</v>
      </c>
      <c r="B18" s="5"/>
      <c r="C18" s="6">
        <v>3000</v>
      </c>
      <c r="D18" s="5">
        <v>1</v>
      </c>
      <c r="E18" s="7">
        <f t="shared" si="0"/>
        <v>3000</v>
      </c>
      <c r="F18" s="32"/>
    </row>
    <row r="19" spans="1:6" ht="15.75" customHeight="1" x14ac:dyDescent="0.25">
      <c r="A19" s="13" t="s">
        <v>17</v>
      </c>
      <c r="B19" s="15"/>
      <c r="C19" s="14">
        <v>2000</v>
      </c>
      <c r="D19" s="15">
        <v>1</v>
      </c>
      <c r="E19" s="16">
        <f t="shared" si="0"/>
        <v>2000</v>
      </c>
      <c r="F19" s="30"/>
    </row>
    <row r="20" spans="1:6" ht="15.75" customHeight="1" x14ac:dyDescent="0.25">
      <c r="A20" s="13" t="s">
        <v>18</v>
      </c>
      <c r="B20" s="15"/>
      <c r="C20" s="14">
        <v>60</v>
      </c>
      <c r="D20" s="15">
        <v>13</v>
      </c>
      <c r="E20" s="16">
        <f t="shared" si="0"/>
        <v>780</v>
      </c>
      <c r="F20" s="30"/>
    </row>
    <row r="21" spans="1:6" ht="15.75" customHeight="1" x14ac:dyDescent="0.25">
      <c r="A21" s="13" t="s">
        <v>19</v>
      </c>
      <c r="B21" s="15"/>
      <c r="C21" s="14">
        <v>300</v>
      </c>
      <c r="D21" s="15">
        <v>1</v>
      </c>
      <c r="E21" s="16">
        <f t="shared" si="0"/>
        <v>300</v>
      </c>
      <c r="F21" s="30"/>
    </row>
    <row r="22" spans="1:6" ht="15.75" customHeight="1" x14ac:dyDescent="0.25">
      <c r="A22" s="13" t="s">
        <v>20</v>
      </c>
      <c r="B22" s="15"/>
      <c r="C22" s="14">
        <v>600</v>
      </c>
      <c r="D22" s="15">
        <v>1</v>
      </c>
      <c r="E22" s="16">
        <f t="shared" si="0"/>
        <v>600</v>
      </c>
      <c r="F22" s="30"/>
    </row>
    <row r="23" spans="1:6" ht="15.75" customHeight="1" x14ac:dyDescent="0.25">
      <c r="A23" s="13" t="s">
        <v>21</v>
      </c>
      <c r="B23" s="15"/>
      <c r="C23" s="14">
        <v>500</v>
      </c>
      <c r="D23" s="15">
        <v>1</v>
      </c>
      <c r="E23" s="16">
        <f t="shared" si="0"/>
        <v>500</v>
      </c>
      <c r="F23" s="30"/>
    </row>
    <row r="24" spans="1:6" ht="15.75" customHeight="1" x14ac:dyDescent="0.25">
      <c r="A24" s="13" t="s">
        <v>22</v>
      </c>
      <c r="B24" s="15"/>
      <c r="C24" s="14">
        <v>600</v>
      </c>
      <c r="D24" s="15">
        <v>1</v>
      </c>
      <c r="E24" s="16">
        <f t="shared" si="0"/>
        <v>600</v>
      </c>
      <c r="F24" s="30"/>
    </row>
    <row r="25" spans="1:6" ht="15.75" customHeight="1" x14ac:dyDescent="0.25">
      <c r="A25" s="13" t="s">
        <v>23</v>
      </c>
      <c r="B25" s="15"/>
      <c r="C25" s="14">
        <v>300</v>
      </c>
      <c r="D25" s="15">
        <v>2</v>
      </c>
      <c r="E25" s="16">
        <f t="shared" si="0"/>
        <v>600</v>
      </c>
      <c r="F25" s="30"/>
    </row>
    <row r="26" spans="1:6" ht="15.75" customHeight="1" x14ac:dyDescent="0.25">
      <c r="A26" s="13" t="s">
        <v>24</v>
      </c>
      <c r="B26" s="15"/>
      <c r="C26" s="14">
        <v>150</v>
      </c>
      <c r="D26" s="15">
        <v>1</v>
      </c>
      <c r="E26" s="16">
        <f t="shared" si="0"/>
        <v>150</v>
      </c>
      <c r="F26" s="30"/>
    </row>
    <row r="27" spans="1:6" ht="15.75" customHeight="1" x14ac:dyDescent="0.25">
      <c r="A27" s="13" t="s">
        <v>25</v>
      </c>
      <c r="B27" s="15"/>
      <c r="C27" s="14">
        <v>500</v>
      </c>
      <c r="D27" s="15">
        <v>1</v>
      </c>
      <c r="E27" s="16">
        <f t="shared" si="0"/>
        <v>500</v>
      </c>
      <c r="F27" s="30"/>
    </row>
    <row r="28" spans="1:6" ht="15.75" customHeight="1" x14ac:dyDescent="0.25">
      <c r="A28" s="13" t="s">
        <v>26</v>
      </c>
      <c r="B28" s="15"/>
      <c r="C28" s="14">
        <v>200</v>
      </c>
      <c r="D28" s="15">
        <v>2</v>
      </c>
      <c r="E28" s="16">
        <f t="shared" si="0"/>
        <v>400</v>
      </c>
      <c r="F28" s="30"/>
    </row>
    <row r="29" spans="1:6" ht="15.75" customHeight="1" x14ac:dyDescent="0.25">
      <c r="A29" s="13" t="s">
        <v>27</v>
      </c>
      <c r="B29" s="15"/>
      <c r="C29" s="14">
        <v>500</v>
      </c>
      <c r="D29" s="15">
        <v>1</v>
      </c>
      <c r="E29" s="16">
        <f t="shared" si="0"/>
        <v>500</v>
      </c>
      <c r="F29" s="30">
        <f>SUM(E18:E29)</f>
        <v>9930</v>
      </c>
    </row>
    <row r="30" spans="1:6" ht="15.75" customHeight="1" x14ac:dyDescent="0.25">
      <c r="A30" s="17" t="s">
        <v>28</v>
      </c>
      <c r="B30" s="5"/>
      <c r="C30" s="6">
        <v>6000</v>
      </c>
      <c r="D30" s="5">
        <v>1</v>
      </c>
      <c r="E30" s="7">
        <f t="shared" si="0"/>
        <v>6000</v>
      </c>
      <c r="F30" s="32"/>
    </row>
    <row r="31" spans="1:6" ht="15.75" customHeight="1" x14ac:dyDescent="0.25">
      <c r="A31" s="13" t="s">
        <v>29</v>
      </c>
      <c r="B31" s="15"/>
      <c r="C31" s="14">
        <v>450</v>
      </c>
      <c r="D31" s="15">
        <v>1</v>
      </c>
      <c r="E31" s="16">
        <f t="shared" si="0"/>
        <v>450</v>
      </c>
      <c r="F31" s="30"/>
    </row>
    <row r="32" spans="1:6" ht="15.75" customHeight="1" x14ac:dyDescent="0.25">
      <c r="A32" s="13" t="s">
        <v>30</v>
      </c>
      <c r="B32" s="15"/>
      <c r="C32" s="14">
        <v>1000</v>
      </c>
      <c r="D32" s="15">
        <v>1</v>
      </c>
      <c r="E32" s="16">
        <f t="shared" si="0"/>
        <v>1000</v>
      </c>
      <c r="F32" s="30"/>
    </row>
    <row r="33" spans="1:6" ht="15.75" customHeight="1" x14ac:dyDescent="0.25">
      <c r="A33" s="13" t="s">
        <v>31</v>
      </c>
      <c r="B33" s="15"/>
      <c r="C33" s="14">
        <v>1200</v>
      </c>
      <c r="D33" s="15">
        <v>1</v>
      </c>
      <c r="E33" s="16">
        <f t="shared" si="0"/>
        <v>1200</v>
      </c>
      <c r="F33" s="30"/>
    </row>
    <row r="34" spans="1:6" ht="15.75" customHeight="1" x14ac:dyDescent="0.25">
      <c r="A34" s="13" t="s">
        <v>32</v>
      </c>
      <c r="B34" s="15"/>
      <c r="C34" s="14">
        <v>500</v>
      </c>
      <c r="D34" s="15">
        <v>1</v>
      </c>
      <c r="E34" s="16">
        <f t="shared" si="0"/>
        <v>500</v>
      </c>
      <c r="F34" s="30"/>
    </row>
    <row r="35" spans="1:6" ht="15.75" customHeight="1" x14ac:dyDescent="0.25">
      <c r="A35" s="13" t="s">
        <v>33</v>
      </c>
      <c r="B35" s="15"/>
      <c r="C35" s="14">
        <v>300</v>
      </c>
      <c r="D35" s="15">
        <v>1</v>
      </c>
      <c r="E35" s="16">
        <f t="shared" si="0"/>
        <v>300</v>
      </c>
      <c r="F35" s="30"/>
    </row>
    <row r="36" spans="1:6" ht="15.75" customHeight="1" x14ac:dyDescent="0.25">
      <c r="A36" s="13" t="s">
        <v>34</v>
      </c>
      <c r="B36" s="15"/>
      <c r="C36" s="14">
        <v>200</v>
      </c>
      <c r="D36" s="15">
        <v>1</v>
      </c>
      <c r="E36" s="16">
        <f t="shared" si="0"/>
        <v>200</v>
      </c>
      <c r="F36" s="30"/>
    </row>
    <row r="37" spans="1:6" ht="15.75" customHeight="1" x14ac:dyDescent="0.25">
      <c r="A37" s="13" t="s">
        <v>35</v>
      </c>
      <c r="B37" s="15"/>
      <c r="C37" s="14">
        <v>400</v>
      </c>
      <c r="D37" s="15">
        <v>1</v>
      </c>
      <c r="E37" s="16">
        <f t="shared" si="0"/>
        <v>400</v>
      </c>
      <c r="F37" s="30"/>
    </row>
    <row r="38" spans="1:6" x14ac:dyDescent="0.25">
      <c r="A38" s="13" t="s">
        <v>36</v>
      </c>
      <c r="B38" s="15"/>
      <c r="C38" s="14">
        <v>150</v>
      </c>
      <c r="D38" s="15">
        <v>2</v>
      </c>
      <c r="E38" s="16">
        <f t="shared" si="0"/>
        <v>300</v>
      </c>
      <c r="F38" s="30"/>
    </row>
    <row r="39" spans="1:6" x14ac:dyDescent="0.25">
      <c r="A39" s="13" t="s">
        <v>37</v>
      </c>
      <c r="B39" s="15"/>
      <c r="C39" s="14">
        <v>250</v>
      </c>
      <c r="D39" s="15">
        <v>1</v>
      </c>
      <c r="E39" s="16">
        <f t="shared" si="0"/>
        <v>250</v>
      </c>
      <c r="F39" s="30"/>
    </row>
    <row r="40" spans="1:6" x14ac:dyDescent="0.25">
      <c r="A40" s="13" t="s">
        <v>38</v>
      </c>
      <c r="B40" s="15"/>
      <c r="C40" s="14">
        <v>2000</v>
      </c>
      <c r="D40" s="15">
        <v>1</v>
      </c>
      <c r="E40" s="16">
        <f t="shared" si="0"/>
        <v>2000</v>
      </c>
      <c r="F40" s="30">
        <f>SUM(E30:E40)</f>
        <v>12600</v>
      </c>
    </row>
    <row r="41" spans="1:6" x14ac:dyDescent="0.25">
      <c r="A41" s="17" t="s">
        <v>39</v>
      </c>
      <c r="B41" s="5"/>
      <c r="C41" s="6">
        <v>250</v>
      </c>
      <c r="D41" s="5">
        <v>1</v>
      </c>
      <c r="E41" s="7">
        <f t="shared" si="0"/>
        <v>250</v>
      </c>
      <c r="F41" s="32"/>
    </row>
    <row r="42" spans="1:6" x14ac:dyDescent="0.25">
      <c r="A42" s="13" t="s">
        <v>40</v>
      </c>
      <c r="B42" s="15"/>
      <c r="C42" s="14">
        <v>250</v>
      </c>
      <c r="D42" s="15">
        <v>1</v>
      </c>
      <c r="E42" s="16">
        <f t="shared" si="0"/>
        <v>250</v>
      </c>
      <c r="F42" s="30"/>
    </row>
    <row r="43" spans="1:6" x14ac:dyDescent="0.25">
      <c r="A43" s="13" t="s">
        <v>42</v>
      </c>
      <c r="B43" s="15"/>
      <c r="C43" s="14">
        <v>200</v>
      </c>
      <c r="D43" s="15">
        <v>2</v>
      </c>
      <c r="E43" s="16">
        <f t="shared" si="0"/>
        <v>400</v>
      </c>
      <c r="F43" s="30">
        <f>SUM(E41:E43)</f>
        <v>900</v>
      </c>
    </row>
    <row r="44" spans="1:6" x14ac:dyDescent="0.25">
      <c r="A44" s="17" t="s">
        <v>43</v>
      </c>
      <c r="B44" s="5"/>
      <c r="C44" s="6">
        <v>1200</v>
      </c>
      <c r="D44" s="5">
        <v>1</v>
      </c>
      <c r="E44" s="7">
        <f t="shared" si="0"/>
        <v>1200</v>
      </c>
      <c r="F44" s="32"/>
    </row>
    <row r="45" spans="1:6" x14ac:dyDescent="0.25">
      <c r="A45" s="13" t="s">
        <v>44</v>
      </c>
      <c r="B45" s="15"/>
      <c r="C45" s="14">
        <v>800</v>
      </c>
      <c r="D45" s="15">
        <v>1</v>
      </c>
      <c r="E45" s="16">
        <f t="shared" si="0"/>
        <v>800</v>
      </c>
      <c r="F45" s="30"/>
    </row>
    <row r="46" spans="1:6" x14ac:dyDescent="0.25">
      <c r="A46" s="13" t="s">
        <v>45</v>
      </c>
      <c r="B46" s="15"/>
      <c r="C46" s="14">
        <v>300</v>
      </c>
      <c r="D46" s="15">
        <v>2</v>
      </c>
      <c r="E46" s="16">
        <f t="shared" si="0"/>
        <v>600</v>
      </c>
      <c r="F46" s="30">
        <f>SUM(E44:E46)</f>
        <v>2600</v>
      </c>
    </row>
    <row r="47" spans="1:6" s="9" customFormat="1" ht="16.5" thickBot="1" x14ac:dyDescent="0.3">
      <c r="A47" s="26" t="s">
        <v>90</v>
      </c>
      <c r="B47" s="27" t="s">
        <v>91</v>
      </c>
      <c r="C47" s="28">
        <f>SUM(E2:E46)*0.2</f>
        <v>9361.9160000000011</v>
      </c>
      <c r="D47" s="8">
        <v>1</v>
      </c>
      <c r="E47" s="11">
        <f t="shared" si="0"/>
        <v>9361.9160000000011</v>
      </c>
      <c r="F47" s="33">
        <f>E47</f>
        <v>9361.9160000000011</v>
      </c>
    </row>
    <row r="48" spans="1:6" s="18" customFormat="1" ht="22.5" customHeight="1" x14ac:dyDescent="0.3">
      <c r="A48" s="19" t="s">
        <v>81</v>
      </c>
      <c r="B48" s="20"/>
      <c r="C48" s="20"/>
      <c r="D48" s="20"/>
      <c r="E48" s="21">
        <f>SUM(E2:E47)</f>
        <v>56171.495999999999</v>
      </c>
      <c r="F48" s="22"/>
    </row>
  </sheetData>
  <mergeCells count="2">
    <mergeCell ref="A48:D48"/>
    <mergeCell ref="E48:F48"/>
  </mergeCells>
  <hyperlinks>
    <hyperlink ref="B2" r:id="rId1" xr:uid="{05A83CB3-F6D8-40C8-A3CB-114DF5481438}"/>
    <hyperlink ref="B5" r:id="rId2" xr:uid="{8C99197E-6AD1-489A-8AC1-DF71C15F5A8A}"/>
    <hyperlink ref="B7" r:id="rId3" xr:uid="{CF5EF931-C761-423D-A409-7B0F668DC670}"/>
    <hyperlink ref="B6" r:id="rId4" display="https://www.amazon.com/Wellmet-Farmhouse-Chandelier-Dining-Sputnik/dp/B08RS7L3N1/ref=sr_1_37?crid=8T897CH4I6YT&amp;dib=eyJ2IjoiMSJ9.D2tztzQi8vGclPgT0yPlj0ho_yLQ2pcViCNYybM-07AMV53j2iNSOgi8JZmcoZ-i6hYFbnyDBs7JZSMS0uIksFf22200tiZaNjouQ3uCxZpPGt3luLoiTITJ8kuDCehQMIfLNqqI5bw__rrzc243V6VLjTILPIMfOH53rMHB89x0jS2XCqJeWAd0xF168XLtcJmHJsvUfa6xG8uM9nPaf3BMdaxXFNIRQI9l7Z25y6y6yNCw9hCE9jexoMzWVjT890KIUbM4RaaMa2F9F2alQFHPf3ryXUBT8Mb2FcbIJvw.ow2cKt_EsOVMJFysBDFmkj22XL0ZwYBLAB9QGokX0i8&amp;dib_tag=se&amp;keywords=outdoor%2Bchandelier%2Bfor%2Bporch&amp;qid=1710378923&amp;sprefix=outdoor%2Bchandelier%2Caps%2C119&amp;sr=8-37&amp;th=1" xr:uid="{9AE24C00-B407-41B9-9966-01759D40AFBA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"/>
  <sheetViews>
    <sheetView workbookViewId="0">
      <pane ySplit="1" topLeftCell="A2" activePane="bottomLeft" state="frozen"/>
      <selection pane="bottomLeft" activeCell="A10" sqref="A10"/>
    </sheetView>
  </sheetViews>
  <sheetFormatPr defaultColWidth="12.5703125" defaultRowHeight="15.75" customHeight="1" x14ac:dyDescent="0.2"/>
  <cols>
    <col min="1" max="1" width="60.42578125" customWidth="1"/>
    <col min="3" max="3" width="5.28515625" customWidth="1"/>
  </cols>
  <sheetData>
    <row r="1" spans="1:5" ht="15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>
        <f>SUM(E2:E6)</f>
        <v>26000</v>
      </c>
    </row>
    <row r="2" spans="1:5" x14ac:dyDescent="0.25">
      <c r="A2" s="5" t="s">
        <v>46</v>
      </c>
      <c r="B2" s="6">
        <v>2000</v>
      </c>
      <c r="C2" s="5">
        <v>1</v>
      </c>
      <c r="D2" s="7">
        <f t="shared" ref="D2:D6" si="0">B2*C2</f>
        <v>2000</v>
      </c>
      <c r="E2" s="7"/>
    </row>
    <row r="3" spans="1:5" x14ac:dyDescent="0.25">
      <c r="A3" s="3" t="s">
        <v>47</v>
      </c>
      <c r="B3" s="4">
        <v>8000</v>
      </c>
      <c r="C3" s="3">
        <v>1</v>
      </c>
      <c r="D3" s="2">
        <f t="shared" si="0"/>
        <v>8000</v>
      </c>
      <c r="E3" s="2"/>
    </row>
    <row r="4" spans="1:5" x14ac:dyDescent="0.25">
      <c r="A4" s="3" t="s">
        <v>48</v>
      </c>
      <c r="B4" s="4">
        <v>1000</v>
      </c>
      <c r="C4" s="3">
        <v>1</v>
      </c>
      <c r="D4" s="2">
        <f t="shared" si="0"/>
        <v>1000</v>
      </c>
      <c r="E4" s="2"/>
    </row>
    <row r="5" spans="1:5" x14ac:dyDescent="0.25">
      <c r="A5" s="3" t="s">
        <v>49</v>
      </c>
      <c r="B5" s="4">
        <v>5000</v>
      </c>
      <c r="C5" s="3">
        <v>1</v>
      </c>
      <c r="D5" s="2">
        <f t="shared" si="0"/>
        <v>5000</v>
      </c>
      <c r="E5" s="2"/>
    </row>
    <row r="6" spans="1:5" x14ac:dyDescent="0.25">
      <c r="A6" s="3" t="s">
        <v>50</v>
      </c>
      <c r="B6" s="4">
        <v>10000</v>
      </c>
      <c r="C6" s="3">
        <v>1</v>
      </c>
      <c r="D6" s="2">
        <f t="shared" si="0"/>
        <v>10000</v>
      </c>
      <c r="E6" s="2">
        <f>SUM(D2:D6)</f>
        <v>26000</v>
      </c>
    </row>
    <row r="7" spans="1:5" x14ac:dyDescent="0.25">
      <c r="A7" s="3" t="s">
        <v>51</v>
      </c>
      <c r="B7" s="4">
        <v>8000</v>
      </c>
      <c r="C7" s="3">
        <v>1</v>
      </c>
      <c r="D7" s="2"/>
      <c r="E7" s="2"/>
    </row>
    <row r="8" spans="1:5" x14ac:dyDescent="0.25">
      <c r="A8" s="3" t="s">
        <v>41</v>
      </c>
      <c r="B8" s="4">
        <v>3000</v>
      </c>
      <c r="C8" s="3">
        <v>1</v>
      </c>
      <c r="D8" s="2">
        <f>B8*C8</f>
        <v>3000</v>
      </c>
      <c r="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60.42578125" customWidth="1"/>
    <col min="3" max="3" width="5.28515625" customWidth="1"/>
  </cols>
  <sheetData>
    <row r="1" spans="1:5" ht="15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>
        <f>SUM(E2:E52)</f>
        <v>0</v>
      </c>
    </row>
    <row r="2" spans="1:5" ht="15.75" customHeight="1" x14ac:dyDescent="0.25">
      <c r="A2" s="3" t="s">
        <v>52</v>
      </c>
      <c r="B2" s="4"/>
      <c r="C2" s="3"/>
      <c r="D2" s="2">
        <f t="shared" ref="D2:D53" si="0">B2*C2</f>
        <v>0</v>
      </c>
      <c r="E2" s="2"/>
    </row>
    <row r="3" spans="1:5" ht="15.75" customHeight="1" x14ac:dyDescent="0.25">
      <c r="A3" s="3" t="s">
        <v>53</v>
      </c>
      <c r="B3" s="4"/>
      <c r="C3" s="3"/>
      <c r="D3" s="2">
        <f t="shared" si="0"/>
        <v>0</v>
      </c>
      <c r="E3" s="2"/>
    </row>
    <row r="4" spans="1:5" ht="15.75" customHeight="1" x14ac:dyDescent="0.25">
      <c r="A4" s="3" t="s">
        <v>54</v>
      </c>
      <c r="B4" s="4"/>
      <c r="C4" s="3"/>
      <c r="D4" s="2">
        <f t="shared" si="0"/>
        <v>0</v>
      </c>
      <c r="E4" s="2"/>
    </row>
    <row r="5" spans="1:5" ht="15.75" customHeight="1" x14ac:dyDescent="0.25">
      <c r="A5" s="3" t="s">
        <v>55</v>
      </c>
      <c r="B5" s="4"/>
      <c r="C5" s="3"/>
      <c r="D5" s="2">
        <f t="shared" si="0"/>
        <v>0</v>
      </c>
      <c r="E5" s="2"/>
    </row>
    <row r="6" spans="1:5" ht="15.75" customHeight="1" x14ac:dyDescent="0.25">
      <c r="A6" s="3" t="s">
        <v>56</v>
      </c>
      <c r="B6" s="4"/>
      <c r="C6" s="3"/>
      <c r="D6" s="2">
        <f t="shared" si="0"/>
        <v>0</v>
      </c>
    </row>
    <row r="7" spans="1:5" ht="15.75" customHeight="1" x14ac:dyDescent="0.25">
      <c r="A7" s="3" t="s">
        <v>57</v>
      </c>
      <c r="B7" s="4"/>
      <c r="C7" s="3"/>
      <c r="D7" s="2">
        <f t="shared" si="0"/>
        <v>0</v>
      </c>
      <c r="E7" s="2"/>
    </row>
    <row r="8" spans="1:5" ht="15.75" customHeight="1" x14ac:dyDescent="0.25">
      <c r="A8" s="3" t="s">
        <v>58</v>
      </c>
      <c r="B8" s="4"/>
      <c r="C8" s="3"/>
      <c r="D8" s="2">
        <f t="shared" si="0"/>
        <v>0</v>
      </c>
      <c r="E8" s="2"/>
    </row>
    <row r="9" spans="1:5" ht="15.75" customHeight="1" x14ac:dyDescent="0.25">
      <c r="A9" s="3" t="s">
        <v>59</v>
      </c>
      <c r="B9" s="4"/>
      <c r="C9" s="3"/>
      <c r="D9" s="2">
        <f t="shared" si="0"/>
        <v>0</v>
      </c>
      <c r="E9" s="2"/>
    </row>
    <row r="10" spans="1:5" ht="15.75" customHeight="1" x14ac:dyDescent="0.25">
      <c r="A10" s="3" t="s">
        <v>60</v>
      </c>
      <c r="B10" s="4"/>
      <c r="C10" s="3"/>
      <c r="D10" s="2">
        <f t="shared" si="0"/>
        <v>0</v>
      </c>
      <c r="E10" s="2"/>
    </row>
    <row r="11" spans="1:5" ht="15.75" customHeight="1" x14ac:dyDescent="0.25">
      <c r="A11" s="3" t="s">
        <v>61</v>
      </c>
      <c r="B11" s="4"/>
      <c r="C11" s="3"/>
      <c r="D11" s="2">
        <f t="shared" si="0"/>
        <v>0</v>
      </c>
      <c r="E11" s="2"/>
    </row>
    <row r="12" spans="1:5" ht="15.75" customHeight="1" x14ac:dyDescent="0.25">
      <c r="A12" s="3" t="s">
        <v>62</v>
      </c>
      <c r="B12" s="4"/>
      <c r="C12" s="3"/>
      <c r="D12" s="2">
        <f t="shared" si="0"/>
        <v>0</v>
      </c>
      <c r="E12" s="2"/>
    </row>
    <row r="13" spans="1:5" ht="15.75" customHeight="1" x14ac:dyDescent="0.25">
      <c r="A13" s="3" t="s">
        <v>63</v>
      </c>
      <c r="B13" s="4"/>
      <c r="C13" s="3"/>
      <c r="D13" s="2">
        <f t="shared" si="0"/>
        <v>0</v>
      </c>
      <c r="E13" s="2"/>
    </row>
    <row r="14" spans="1:5" ht="15.75" customHeight="1" x14ac:dyDescent="0.25">
      <c r="A14" s="3" t="s">
        <v>64</v>
      </c>
      <c r="B14" s="4"/>
      <c r="C14" s="3"/>
      <c r="D14" s="2">
        <f t="shared" si="0"/>
        <v>0</v>
      </c>
      <c r="E14" s="2"/>
    </row>
    <row r="15" spans="1:5" ht="15.75" customHeight="1" x14ac:dyDescent="0.25">
      <c r="A15" s="3" t="s">
        <v>65</v>
      </c>
      <c r="B15" s="4"/>
      <c r="C15" s="3"/>
      <c r="D15" s="2">
        <f t="shared" si="0"/>
        <v>0</v>
      </c>
      <c r="E15" s="2"/>
    </row>
    <row r="16" spans="1:5" ht="15.75" customHeight="1" x14ac:dyDescent="0.25">
      <c r="A16" s="3" t="s">
        <v>66</v>
      </c>
      <c r="B16" s="4"/>
      <c r="C16" s="3"/>
      <c r="D16" s="2">
        <f t="shared" si="0"/>
        <v>0</v>
      </c>
    </row>
    <row r="17" spans="1:5" ht="15.75" customHeight="1" x14ac:dyDescent="0.25">
      <c r="A17" s="3" t="s">
        <v>67</v>
      </c>
      <c r="B17" s="4"/>
      <c r="C17" s="3"/>
      <c r="D17" s="2">
        <f t="shared" si="0"/>
        <v>0</v>
      </c>
      <c r="E17" s="2"/>
    </row>
    <row r="18" spans="1:5" ht="15.75" customHeight="1" x14ac:dyDescent="0.25">
      <c r="A18" s="3" t="s">
        <v>68</v>
      </c>
      <c r="B18" s="4"/>
      <c r="C18" s="3"/>
      <c r="D18" s="2">
        <f t="shared" si="0"/>
        <v>0</v>
      </c>
      <c r="E18" s="2"/>
    </row>
    <row r="19" spans="1:5" ht="15.75" customHeight="1" x14ac:dyDescent="0.25">
      <c r="A19" s="3" t="s">
        <v>69</v>
      </c>
      <c r="B19" s="4"/>
      <c r="C19" s="3"/>
      <c r="D19" s="2">
        <f t="shared" si="0"/>
        <v>0</v>
      </c>
      <c r="E19" s="2"/>
    </row>
    <row r="20" spans="1:5" ht="15.75" customHeight="1" x14ac:dyDescent="0.25">
      <c r="A20" s="3" t="s">
        <v>70</v>
      </c>
      <c r="B20" s="4"/>
      <c r="C20" s="3"/>
      <c r="D20" s="2">
        <f t="shared" si="0"/>
        <v>0</v>
      </c>
      <c r="E20" s="2"/>
    </row>
    <row r="21" spans="1:5" ht="15.75" customHeight="1" x14ac:dyDescent="0.25">
      <c r="A21" s="3" t="s">
        <v>71</v>
      </c>
      <c r="B21" s="4"/>
      <c r="C21" s="3"/>
      <c r="D21" s="2">
        <f t="shared" si="0"/>
        <v>0</v>
      </c>
      <c r="E21" s="2"/>
    </row>
    <row r="22" spans="1:5" ht="15.75" customHeight="1" x14ac:dyDescent="0.25">
      <c r="A22" s="3" t="s">
        <v>72</v>
      </c>
      <c r="B22" s="4"/>
      <c r="C22" s="3"/>
      <c r="D22" s="2">
        <f t="shared" si="0"/>
        <v>0</v>
      </c>
      <c r="E22" s="2"/>
    </row>
    <row r="23" spans="1:5" ht="15.75" customHeight="1" x14ac:dyDescent="0.25">
      <c r="A23" s="3" t="s">
        <v>73</v>
      </c>
      <c r="B23" s="4"/>
      <c r="C23" s="3"/>
      <c r="D23" s="2">
        <f t="shared" si="0"/>
        <v>0</v>
      </c>
      <c r="E23" s="2"/>
    </row>
    <row r="24" spans="1:5" ht="15.75" customHeight="1" x14ac:dyDescent="0.25">
      <c r="A24" s="3" t="s">
        <v>74</v>
      </c>
      <c r="B24" s="4"/>
      <c r="C24" s="3"/>
      <c r="D24" s="2">
        <f t="shared" si="0"/>
        <v>0</v>
      </c>
      <c r="E24" s="2"/>
    </row>
    <row r="25" spans="1:5" ht="15.75" customHeight="1" x14ac:dyDescent="0.25">
      <c r="A25" s="3" t="s">
        <v>75</v>
      </c>
      <c r="B25" s="4"/>
      <c r="C25" s="3"/>
      <c r="D25" s="2">
        <f t="shared" si="0"/>
        <v>0</v>
      </c>
      <c r="E25" s="2"/>
    </row>
    <row r="26" spans="1:5" ht="15.75" customHeight="1" x14ac:dyDescent="0.25">
      <c r="A26" s="3" t="s">
        <v>76</v>
      </c>
      <c r="B26" s="4"/>
      <c r="C26" s="3"/>
      <c r="D26" s="2">
        <f t="shared" si="0"/>
        <v>0</v>
      </c>
      <c r="E26" s="2"/>
    </row>
    <row r="27" spans="1:5" ht="15.75" customHeight="1" x14ac:dyDescent="0.25">
      <c r="A27" s="3" t="s">
        <v>77</v>
      </c>
      <c r="B27" s="4"/>
      <c r="C27" s="3"/>
      <c r="D27" s="2">
        <f t="shared" si="0"/>
        <v>0</v>
      </c>
      <c r="E27" s="2"/>
    </row>
    <row r="28" spans="1:5" ht="15.75" customHeight="1" x14ac:dyDescent="0.25">
      <c r="A28" s="3" t="s">
        <v>78</v>
      </c>
      <c r="B28" s="4"/>
      <c r="C28" s="3"/>
      <c r="D28" s="2">
        <f t="shared" si="0"/>
        <v>0</v>
      </c>
      <c r="E28" s="2"/>
    </row>
    <row r="29" spans="1:5" ht="15.75" customHeight="1" x14ac:dyDescent="0.25">
      <c r="A29" s="3"/>
      <c r="B29" s="4"/>
      <c r="C29" s="3"/>
      <c r="D29" s="2">
        <f t="shared" si="0"/>
        <v>0</v>
      </c>
      <c r="E29" s="2"/>
    </row>
    <row r="30" spans="1:5" ht="15.75" customHeight="1" x14ac:dyDescent="0.25">
      <c r="A30" s="3"/>
      <c r="B30" s="4"/>
      <c r="C30" s="3"/>
      <c r="D30" s="2">
        <f t="shared" si="0"/>
        <v>0</v>
      </c>
      <c r="E30" s="2"/>
    </row>
    <row r="31" spans="1:5" ht="15.75" customHeight="1" x14ac:dyDescent="0.25">
      <c r="A31" s="3"/>
      <c r="B31" s="4"/>
      <c r="C31" s="3"/>
      <c r="D31" s="2">
        <f t="shared" si="0"/>
        <v>0</v>
      </c>
      <c r="E31" s="2"/>
    </row>
    <row r="32" spans="1:5" ht="15.75" customHeight="1" x14ac:dyDescent="0.25">
      <c r="A32" s="3"/>
      <c r="B32" s="4"/>
      <c r="C32" s="3"/>
      <c r="D32" s="2">
        <f t="shared" si="0"/>
        <v>0</v>
      </c>
      <c r="E32" s="2"/>
    </row>
    <row r="33" spans="1:5" ht="15.75" customHeight="1" x14ac:dyDescent="0.25">
      <c r="A33" s="3"/>
      <c r="B33" s="4"/>
      <c r="C33" s="3"/>
      <c r="D33" s="2">
        <f t="shared" si="0"/>
        <v>0</v>
      </c>
      <c r="E33" s="2"/>
    </row>
    <row r="34" spans="1:5" ht="15.75" customHeight="1" x14ac:dyDescent="0.25">
      <c r="A34" s="3"/>
      <c r="B34" s="4"/>
      <c r="C34" s="3"/>
      <c r="D34" s="2">
        <f t="shared" si="0"/>
        <v>0</v>
      </c>
      <c r="E34" s="2"/>
    </row>
    <row r="35" spans="1:5" ht="15.75" customHeight="1" x14ac:dyDescent="0.25">
      <c r="A35" s="3"/>
      <c r="B35" s="4"/>
      <c r="C35" s="3"/>
      <c r="D35" s="2">
        <f t="shared" si="0"/>
        <v>0</v>
      </c>
      <c r="E35" s="2"/>
    </row>
    <row r="36" spans="1:5" ht="15.75" customHeight="1" x14ac:dyDescent="0.25">
      <c r="A36" s="3"/>
      <c r="B36" s="4"/>
      <c r="C36" s="3"/>
      <c r="D36" s="2">
        <f t="shared" si="0"/>
        <v>0</v>
      </c>
      <c r="E36" s="2"/>
    </row>
    <row r="37" spans="1:5" ht="15.75" customHeight="1" x14ac:dyDescent="0.25">
      <c r="A37" s="3"/>
      <c r="B37" s="4"/>
      <c r="C37" s="3"/>
      <c r="D37" s="2">
        <f t="shared" si="0"/>
        <v>0</v>
      </c>
      <c r="E37" s="2"/>
    </row>
    <row r="38" spans="1:5" x14ac:dyDescent="0.25">
      <c r="A38" s="3"/>
      <c r="B38" s="4"/>
      <c r="C38" s="3"/>
      <c r="D38" s="2">
        <f t="shared" si="0"/>
        <v>0</v>
      </c>
      <c r="E38" s="2"/>
    </row>
    <row r="39" spans="1:5" x14ac:dyDescent="0.25">
      <c r="A39" s="3"/>
      <c r="B39" s="4"/>
      <c r="C39" s="3"/>
      <c r="D39" s="2">
        <f t="shared" si="0"/>
        <v>0</v>
      </c>
      <c r="E39" s="2"/>
    </row>
    <row r="40" spans="1:5" x14ac:dyDescent="0.25">
      <c r="A40" s="3"/>
      <c r="B40" s="4"/>
      <c r="C40" s="3"/>
      <c r="D40" s="2">
        <f t="shared" si="0"/>
        <v>0</v>
      </c>
      <c r="E40" s="2"/>
    </row>
    <row r="41" spans="1:5" x14ac:dyDescent="0.25">
      <c r="A41" s="3"/>
      <c r="B41" s="4"/>
      <c r="C41" s="3"/>
      <c r="D41" s="2">
        <f t="shared" si="0"/>
        <v>0</v>
      </c>
      <c r="E41" s="2"/>
    </row>
    <row r="42" spans="1:5" x14ac:dyDescent="0.25">
      <c r="A42" s="3"/>
      <c r="B42" s="4"/>
      <c r="C42" s="3"/>
      <c r="D42" s="2">
        <f t="shared" si="0"/>
        <v>0</v>
      </c>
      <c r="E42" s="2"/>
    </row>
    <row r="43" spans="1:5" x14ac:dyDescent="0.25">
      <c r="A43" s="3"/>
      <c r="B43" s="4"/>
      <c r="C43" s="3"/>
      <c r="D43" s="2">
        <f t="shared" si="0"/>
        <v>0</v>
      </c>
      <c r="E43" s="2"/>
    </row>
    <row r="44" spans="1:5" x14ac:dyDescent="0.25">
      <c r="A44" s="3"/>
      <c r="B44" s="4"/>
      <c r="C44" s="3"/>
      <c r="D44" s="2">
        <f t="shared" si="0"/>
        <v>0</v>
      </c>
      <c r="E44" s="2"/>
    </row>
    <row r="45" spans="1:5" x14ac:dyDescent="0.25">
      <c r="A45" s="3"/>
      <c r="B45" s="4"/>
      <c r="C45" s="3"/>
      <c r="D45" s="2">
        <f t="shared" si="0"/>
        <v>0</v>
      </c>
      <c r="E45" s="2"/>
    </row>
    <row r="46" spans="1:5" x14ac:dyDescent="0.25">
      <c r="A46" s="3"/>
      <c r="B46" s="4"/>
      <c r="C46" s="3"/>
      <c r="D46" s="2">
        <f t="shared" si="0"/>
        <v>0</v>
      </c>
      <c r="E46" s="2"/>
    </row>
    <row r="47" spans="1:5" x14ac:dyDescent="0.25">
      <c r="A47" s="3"/>
      <c r="B47" s="4"/>
      <c r="C47" s="3"/>
      <c r="D47" s="2">
        <f t="shared" si="0"/>
        <v>0</v>
      </c>
      <c r="E47" s="2"/>
    </row>
    <row r="48" spans="1:5" x14ac:dyDescent="0.25">
      <c r="A48" s="3"/>
      <c r="B48" s="4"/>
      <c r="C48" s="3"/>
      <c r="D48" s="2">
        <f t="shared" si="0"/>
        <v>0</v>
      </c>
      <c r="E48" s="2"/>
    </row>
    <row r="49" spans="1:5" x14ac:dyDescent="0.25">
      <c r="A49" s="3"/>
      <c r="B49" s="4"/>
      <c r="C49" s="3"/>
      <c r="D49" s="2">
        <f t="shared" si="0"/>
        <v>0</v>
      </c>
      <c r="E49" s="2"/>
    </row>
    <row r="50" spans="1:5" x14ac:dyDescent="0.25">
      <c r="A50" s="3"/>
      <c r="B50" s="4"/>
      <c r="C50" s="3"/>
      <c r="D50" s="2">
        <f t="shared" si="0"/>
        <v>0</v>
      </c>
      <c r="E50" s="2"/>
    </row>
    <row r="51" spans="1:5" x14ac:dyDescent="0.25">
      <c r="A51" s="3"/>
      <c r="B51" s="4"/>
      <c r="C51" s="3"/>
      <c r="D51" s="2">
        <f t="shared" si="0"/>
        <v>0</v>
      </c>
      <c r="E51" s="2"/>
    </row>
    <row r="52" spans="1:5" x14ac:dyDescent="0.25">
      <c r="A52" s="3"/>
      <c r="B52" s="4"/>
      <c r="C52" s="3"/>
      <c r="D52" s="2">
        <f t="shared" si="0"/>
        <v>0</v>
      </c>
      <c r="E52" s="2"/>
    </row>
    <row r="53" spans="1:5" x14ac:dyDescent="0.25">
      <c r="A53" s="3"/>
      <c r="B53" s="4"/>
      <c r="C53" s="3"/>
      <c r="D53" s="2">
        <f t="shared" si="0"/>
        <v>0</v>
      </c>
      <c r="E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Plan</vt:lpstr>
      <vt:lpstr>Future &gt;2025</vt:lpstr>
      <vt:lpstr>Past &lt;11072022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Graves</cp:lastModifiedBy>
  <dcterms:modified xsi:type="dcterms:W3CDTF">2024-03-14T01:27:47Z</dcterms:modified>
</cp:coreProperties>
</file>